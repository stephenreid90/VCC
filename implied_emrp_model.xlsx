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ied EMRP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FMP model</author>
  </authors>
  <commentList>
    <comment ref="C6" authorId="0">
      <text>
        <r>
          <rPr>
            <sz val="10"/>
            <rFont val="Arial"/>
            <family val="2"/>
          </rPr>
          <t xml:space="preserve">Live price of the proxy. Replace this number with the live formula in column H once the FMP add-on is installed.</t>
        </r>
      </text>
    </comment>
    <comment ref="C7" authorId="0">
      <text>
        <r>
          <rPr>
            <sz val="10"/>
            <rFont val="Arial"/>
            <family val="2"/>
          </rPr>
          <t xml:space="preserve">Sum of the last 4 declared dividends (clean trailing-12m). Replace with the column H formula to go live.</t>
        </r>
      </text>
    </comment>
    <comment ref="C9" authorId="0">
      <text>
        <r>
          <rPr>
            <sz val="10"/>
            <rFont val="Arial"/>
            <family val="2"/>
          </rPr>
          <t xml:space="preserve">Assumption. FMP has no aggregate buyback feed at any tier. Source: S&amp;P DJI quarterly buyback report (~1.5-2.5% in recent years).</t>
        </r>
      </text>
    </comment>
    <comment ref="C11" authorId="0">
      <text>
        <r>
          <rPr>
            <sz val="10"/>
            <rFont val="Arial"/>
            <family val="2"/>
          </rPr>
          <t xml:space="preserve">Manual: the add-on does not cleanly expose Treasury yields. Source: FMP treasury-rates endpoint, FRED (DGS10), or treasury.gov. Optional live: =FMPPRICE("^TNX","Price")/100 — verify the scale of ^TNX first.</t>
        </r>
      </text>
    </comment>
    <comment ref="C14" authorId="0">
      <text>
        <r>
          <rPr>
            <sz val="10"/>
            <rFont val="Arial"/>
            <family val="2"/>
          </rPr>
          <t xml:space="preserve">Number of consensus years below. Terminal value applies after year N.</t>
        </r>
      </text>
    </comment>
    <comment ref="C29" authorId="0">
      <text>
        <r>
          <rPr>
            <sz val="10"/>
            <rFont val="Arial"/>
            <family val="2"/>
          </rPr>
          <t xml:space="preserve">This is the changing cell for Goal Seek. Pre-solved for the sample inputs. Re-run Goal Seek after changing any input: Data &gt; What-If Analysis &gt; Goal Seek; Set cell C32, To value 0, By changing cell C29.</t>
        </r>
      </text>
    </comment>
    <comment ref="C32" authorId="0">
      <text>
        <r>
          <rPr>
            <sz val="10"/>
            <rFont val="Arial"/>
            <family val="2"/>
          </rPr>
          <t xml:space="preserve">GOAL SEEK target. Data &gt; What-If Analysis &gt; Goal Seek; Set cell C32, To value 0, By changing cell C29.</t>
        </r>
      </text>
    </comment>
  </commentList>
</comments>
</file>

<file path=xl/sharedStrings.xml><?xml version="1.0" encoding="utf-8"?>
<sst xmlns="http://schemas.openxmlformats.org/spreadsheetml/2006/main" count="62" uniqueCount="62">
  <si>
    <t xml:space="preserve">Implied US Equity Market Risk Premium — S&amp;P 500 (via SPY)</t>
  </si>
  <si>
    <t xml:space="preserve">Solve for the IRR that prices the index off consensus cash flows; EMRP = IRR − risk-free rate.</t>
  </si>
  <si>
    <t xml:space="preserve">INPUTS  (live-able via FMP add-on)</t>
  </si>
  <si>
    <t xml:space="preserve">How to make it live (paste into the value cell)</t>
  </si>
  <si>
    <t xml:space="preserve">Ticker (S&amp;P 500 proxy)</t>
  </si>
  <si>
    <t xml:space="preserve">SPY</t>
  </si>
  <si>
    <t xml:space="preserve">SPY is free-tier; model is scale-invariant, so the ETF works.</t>
  </si>
  <si>
    <t xml:space="preserve">Price</t>
  </si>
  <si>
    <t xml:space="preserve">Live: =FMPPRICE(C5,"Price")</t>
  </si>
  <si>
    <t xml:space="preserve">Trailing 12m dividend ($)</t>
  </si>
  <si>
    <t xml:space="preserve">Live: =SUM(FMP(C5,"dividend",{"LQ","LQ-1","LQ-2","LQ-3"}))</t>
  </si>
  <si>
    <t xml:space="preserve">Dividend yield</t>
  </si>
  <si>
    <t xml:space="preserve">Computed: dividend ÷ price.</t>
  </si>
  <si>
    <t xml:space="preserve">Net buyback yield</t>
  </si>
  <si>
    <t xml:space="preserve">Assumption — S&amp;P DJI buyback report.</t>
  </si>
  <si>
    <t xml:space="preserve">Total cash yield</t>
  </si>
  <si>
    <t xml:space="preserve">Dividends + buybacks.</t>
  </si>
  <si>
    <t xml:space="preserve">Risk-free rate (10Y Treasury)</t>
  </si>
  <si>
    <t xml:space="preserve">Manual — treasury.gov / FRED DGS10. (or verify =FMPPRICE("^TNX","Price")/100)</t>
  </si>
  <si>
    <t xml:space="preserve">Terminal growth</t>
  </si>
  <si>
    <t xml:space="preserve">Convention = risk-free rate. Overwrite C12 with a number to override.</t>
  </si>
  <si>
    <t xml:space="preserve">Base cash flow  CF0</t>
  </si>
  <si>
    <t xml:space="preserve">Total cash yield × price.</t>
  </si>
  <si>
    <t xml:space="preserve">Forecast years  N  (consensus horizon)</t>
  </si>
  <si>
    <t xml:space="preserve">How many consensus-growth years are used below.</t>
  </si>
  <si>
    <t xml:space="preserve">CASH-FLOW SCHEDULE</t>
  </si>
  <si>
    <t xml:space="preserve">Year t</t>
  </si>
  <si>
    <t xml:space="preserve">Consensus growth</t>
  </si>
  <si>
    <t xml:space="preserve">Cash flow</t>
  </si>
  <si>
    <t xml:space="preserve">Terminal value</t>
  </si>
  <si>
    <t xml:space="preserve">Disc. factor</t>
  </si>
  <si>
    <t xml:space="preserve">PV</t>
  </si>
  <si>
    <t xml:space="preserve">Discount rate  r  (Goal Seek changes this)</t>
  </si>
  <si>
    <t xml:space="preserve">Model PV (sum of column G)</t>
  </si>
  <si>
    <t xml:space="preserve">Market price (target)</t>
  </si>
  <si>
    <t xml:space="preserve">PV − Price   →  Goal Seek to 0</t>
  </si>
  <si>
    <t xml:space="preserve">Implied equity return (IRR)</t>
  </si>
  <si>
    <t xml:space="preserve">Implied EMRP</t>
  </si>
  <si>
    <t xml:space="preserve">Implied EMRP model — how to use</t>
  </si>
  <si>
    <t xml:space="preserve">1.  Install the FMP Excel add-on</t>
  </si>
  <si>
    <t xml:space="preserve">     Home tab &gt; Add-ins &gt; More Add-ins &gt; search "FMP" &gt; Add. Then sign in with your FMP account.</t>
  </si>
  <si>
    <t xml:space="preserve">     (Custom functions need Excel on Microsoft 365, or use Excel Online / Google Sheets.)</t>
  </si>
  <si>
    <t xml:space="preserve">2.  Make the inputs live (optional)</t>
  </si>
  <si>
    <t xml:space="preserve">     For Price (C6) and Dividend (C7), paste the formula shown in column H into the value cell.</t>
  </si>
  <si>
    <t xml:space="preserve">     Example: click C6 and enter   =FMPPRICE(C5,"Price")</t>
  </si>
  <si>
    <t xml:space="preserve">     The risk-free rate (C11) is manual — type the current 10Y Treasury yield (e.g. from treasury.gov).</t>
  </si>
  <si>
    <t xml:space="preserve">3.  Set your assumptions (blue / yellow cells)</t>
  </si>
  <si>
    <t xml:space="preserve">     - Net buyback yield (C9)</t>
  </si>
  <si>
    <t xml:space="preserve">     - Risk-free rate (C11); terminal growth (C12) defaults to it</t>
  </si>
  <si>
    <t xml:space="preserve">     - Consensus growth path (C18 down), one rate per year; set N (C14) to how many years you used</t>
  </si>
  <si>
    <t xml:space="preserve">4.  Solve for the implied return with Goal Seek</t>
  </si>
  <si>
    <t xml:space="preserve">     Data tab &gt; What-If Analysis &gt; Goal Seek</t>
  </si>
  <si>
    <t xml:space="preserve">     Set cell:  C32      To value:  0      By changing cell:  C29</t>
  </si>
  <si>
    <t xml:space="preserve">     C29 is pre-solved for the sample inputs; re-run Goal Seek whenever you change an input.</t>
  </si>
  <si>
    <t xml:space="preserve">5.  Read the result</t>
  </si>
  <si>
    <t xml:space="preserve">     Implied EMRP is in C35  =  implied equity return (C34)  −  risk-free rate (C11).</t>
  </si>
  <si>
    <t xml:space="preserve">Method</t>
  </si>
  <si>
    <t xml:space="preserve">     The index price is treated as the PV of cash flows to shareholders (dividends + buybacks).</t>
  </si>
  <si>
    <t xml:space="preserve">     Those grow at consensus rates for N years, then a terminal rate (the risk-free rate) forever.</t>
  </si>
  <si>
    <t xml:space="preserve">     The IRR that equates that PV to the price is the implied equity return; EMRP = IRR − risk-free.</t>
  </si>
  <si>
    <t xml:space="preserve">Note: SPY is used as the S&amp;P 500 proxy because it is free-tier on FMP. The model is scale-invariant —</t>
  </si>
  <si>
    <t xml:space="preserve">only yields and growth drive the IRR — so the ETF level gives the same answer as the raw index.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</si>
</sst>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0"/>
    <numFmt numFmtId="167" formatCode="0.00%"/>
    <numFmt numFmtId="168" formatCode="0.0%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  <c r="G4" s="4"/>
      <c r="H4" s="3" t="s">
        <v>3</v>
      </c>
    </row>
    <row r="5" customFormat="false" ht="15" hidden="false" customHeight="false" outlineLevel="0" collapsed="false">
      <c r="B5" s="5" t="s">
        <v>4</v>
      </c>
      <c r="C5" s="6" t="s">
        <v>5</v>
      </c>
      <c r="H5" s="2" t="s">
        <v>6</v>
      </c>
    </row>
    <row r="6" customFormat="false" ht="15" hidden="false" customHeight="false" outlineLevel="0" collapsed="false">
      <c r="B6" s="5" t="s">
        <v>7</v>
      </c>
      <c r="C6" s="7" t="n">
        <v>600</v>
      </c>
      <c r="H6" s="2" t="s">
        <v>8</v>
      </c>
    </row>
    <row r="7" customFormat="false" ht="15" hidden="false" customHeight="false" outlineLevel="0" collapsed="false">
      <c r="B7" s="5" t="s">
        <v>9</v>
      </c>
      <c r="C7" s="8" t="n">
        <v>7.2</v>
      </c>
      <c r="H7" s="2" t="s">
        <v>10</v>
      </c>
    </row>
    <row r="8" customFormat="false" ht="15" hidden="false" customHeight="false" outlineLevel="0" collapsed="false">
      <c r="B8" s="5" t="s">
        <v>11</v>
      </c>
      <c r="C8" s="9" t="n">
        <f aca="false">C7/C6</f>
        <v>0.012</v>
      </c>
      <c r="H8" s="2" t="s">
        <v>12</v>
      </c>
    </row>
    <row r="9" customFormat="false" ht="15" hidden="false" customHeight="false" outlineLevel="0" collapsed="false">
      <c r="B9" s="5" t="s">
        <v>13</v>
      </c>
      <c r="C9" s="10" t="n">
        <v>0.018</v>
      </c>
      <c r="H9" s="2" t="s">
        <v>14</v>
      </c>
    </row>
    <row r="10" customFormat="false" ht="15" hidden="false" customHeight="false" outlineLevel="0" collapsed="false">
      <c r="B10" s="5" t="s">
        <v>15</v>
      </c>
      <c r="C10" s="9" t="n">
        <f aca="false">C8+C9</f>
        <v>0.03</v>
      </c>
      <c r="H10" s="2" t="s">
        <v>16</v>
      </c>
    </row>
    <row r="11" customFormat="false" ht="15" hidden="false" customHeight="false" outlineLevel="0" collapsed="false">
      <c r="B11" s="5" t="s">
        <v>17</v>
      </c>
      <c r="C11" s="10" t="n">
        <v>0.043</v>
      </c>
      <c r="H11" s="2" t="s">
        <v>18</v>
      </c>
    </row>
    <row r="12" customFormat="false" ht="15" hidden="false" customHeight="false" outlineLevel="0" collapsed="false">
      <c r="B12" s="5" t="s">
        <v>19</v>
      </c>
      <c r="C12" s="11" t="n">
        <f aca="false">C11</f>
        <v>0.043</v>
      </c>
      <c r="H12" s="2" t="s">
        <v>20</v>
      </c>
    </row>
    <row r="13" customFormat="false" ht="15" hidden="false" customHeight="false" outlineLevel="0" collapsed="false">
      <c r="B13" s="5" t="s">
        <v>21</v>
      </c>
      <c r="C13" s="12" t="n">
        <f aca="false">C10*C6</f>
        <v>18</v>
      </c>
      <c r="H13" s="2" t="s">
        <v>22</v>
      </c>
    </row>
    <row r="14" customFormat="false" ht="15" hidden="false" customHeight="false" outlineLevel="0" collapsed="false">
      <c r="B14" s="5" t="s">
        <v>23</v>
      </c>
      <c r="C14" s="6" t="n">
        <v>5</v>
      </c>
      <c r="H14" s="2" t="s">
        <v>24</v>
      </c>
    </row>
    <row r="16" customFormat="false" ht="15" hidden="false" customHeight="false" outlineLevel="0" collapsed="false">
      <c r="B16" s="3" t="s">
        <v>25</v>
      </c>
      <c r="C16" s="4"/>
      <c r="D16" s="4"/>
      <c r="E16" s="4"/>
      <c r="F16" s="4"/>
      <c r="G16" s="4"/>
      <c r="H16" s="4"/>
    </row>
    <row r="17" customFormat="false" ht="26.85" hidden="false" customHeight="false" outlineLevel="0" collapsed="false">
      <c r="B17" s="13" t="s">
        <v>26</v>
      </c>
      <c r="C17" s="13" t="s">
        <v>27</v>
      </c>
      <c r="D17" s="13" t="s">
        <v>28</v>
      </c>
      <c r="E17" s="13" t="s">
        <v>29</v>
      </c>
      <c r="F17" s="13" t="s">
        <v>30</v>
      </c>
      <c r="G17" s="13" t="s">
        <v>31</v>
      </c>
    </row>
    <row r="18" customFormat="false" ht="15" hidden="false" customHeight="false" outlineLevel="0" collapsed="false">
      <c r="B18" s="14" t="n">
        <v>1</v>
      </c>
      <c r="C18" s="15" t="n">
        <v>0.11</v>
      </c>
      <c r="D18" s="16" t="n">
        <f aca="false">IF(B18&lt;=$C$14,$C$13*(1+C18),0)</f>
        <v>19.98</v>
      </c>
      <c r="E18" s="16" t="n">
        <f aca="false">IF(B18=$C$14,D18*(1+$C$12)/($C$29-$C$12),0)</f>
        <v>0</v>
      </c>
      <c r="F18" s="17" t="n">
        <f aca="false">1/(1+$C$29)^B18</f>
        <v>0.925700500711401</v>
      </c>
      <c r="G18" s="16" t="n">
        <f aca="false">(D18+E18)*F18</f>
        <v>18.4954960042138</v>
      </c>
    </row>
    <row r="19" customFormat="false" ht="15" hidden="false" customHeight="false" outlineLevel="0" collapsed="false">
      <c r="B19" s="14" t="n">
        <v>2</v>
      </c>
      <c r="C19" s="15" t="n">
        <v>0.09</v>
      </c>
      <c r="D19" s="16" t="n">
        <f aca="false">IF(B19&lt;=$C$14,D18*(1+C19),0)</f>
        <v>21.7782</v>
      </c>
      <c r="E19" s="16" t="n">
        <f aca="false">IF(B19=$C$14,D19*(1+$C$12)/($C$29-$C$12),0)</f>
        <v>0</v>
      </c>
      <c r="F19" s="17" t="n">
        <f aca="false">1/(1+$C$29)^B19</f>
        <v>0.856921417017338</v>
      </c>
      <c r="G19" s="16" t="n">
        <f aca="false">(D19+E19)*F19</f>
        <v>18.662206004087</v>
      </c>
    </row>
    <row r="20" customFormat="false" ht="15" hidden="false" customHeight="false" outlineLevel="0" collapsed="false">
      <c r="B20" s="14" t="n">
        <v>3</v>
      </c>
      <c r="C20" s="15" t="n">
        <v>0.08</v>
      </c>
      <c r="D20" s="16" t="n">
        <f aca="false">IF(B20&lt;=$C$14,D19*(1+C20),0)</f>
        <v>23.520456</v>
      </c>
      <c r="E20" s="16" t="n">
        <f aca="false">IF(B20=$C$14,D20*(1+$C$12)/($C$29-$C$12),0)</f>
        <v>0</v>
      </c>
      <c r="F20" s="17" t="n">
        <f aca="false">1/(1+$C$29)^B20</f>
        <v>0.793252584803273</v>
      </c>
      <c r="G20" s="16" t="n">
        <f aca="false">(D20+E20)*F20</f>
        <v>18.6576625177517</v>
      </c>
    </row>
    <row r="21" customFormat="false" ht="15" hidden="false" customHeight="false" outlineLevel="0" collapsed="false">
      <c r="B21" s="14" t="n">
        <v>4</v>
      </c>
      <c r="C21" s="15" t="n">
        <v>0.07</v>
      </c>
      <c r="D21" s="16" t="n">
        <f aca="false">IF(B21&lt;=$C$14,D20*(1+C21),0)</f>
        <v>25.16688792</v>
      </c>
      <c r="E21" s="16" t="n">
        <f aca="false">IF(B21=$C$14,D21*(1+$C$12)/($C$29-$C$12),0)</f>
        <v>0</v>
      </c>
      <c r="F21" s="17" t="n">
        <f aca="false">1/(1+$C$29)^B21</f>
        <v>0.734314314943003</v>
      </c>
      <c r="G21" s="16" t="n">
        <f aca="false">(D21+E21)*F21</f>
        <v>18.4804060622221</v>
      </c>
    </row>
    <row r="22" customFormat="false" ht="15" hidden="false" customHeight="false" outlineLevel="0" collapsed="false">
      <c r="B22" s="14" t="n">
        <v>5</v>
      </c>
      <c r="C22" s="15" t="n">
        <v>0.06</v>
      </c>
      <c r="D22" s="16" t="n">
        <f aca="false">IF(B22&lt;=$C$14,D21*(1+C22),0)</f>
        <v>26.6769011952</v>
      </c>
      <c r="E22" s="16" t="n">
        <f aca="false">IF(B22=$C$14,D22*(1+$C$12)/($C$29-$C$12),0)</f>
        <v>746.692642744642</v>
      </c>
      <c r="F22" s="17" t="n">
        <f aca="false">1/(1+$C$29)^B22</f>
        <v>0.679755129022287</v>
      </c>
      <c r="G22" s="16" t="n">
        <f aca="false">(D22+E22)*F22</f>
        <v>525.701914122735</v>
      </c>
    </row>
    <row r="23" customFormat="false" ht="15" hidden="false" customHeight="false" outlineLevel="0" collapsed="false">
      <c r="B23" s="14" t="n">
        <v>6</v>
      </c>
      <c r="C23" s="18"/>
      <c r="D23" s="16" t="n">
        <f aca="false">IF(B23&lt;=$C$14,D22*(1+C23),0)</f>
        <v>0</v>
      </c>
      <c r="E23" s="16" t="n">
        <f aca="false">IF(B23=$C$14,D23*(1+$C$12)/($C$29-$C$12),0)</f>
        <v>0</v>
      </c>
      <c r="F23" s="17" t="n">
        <f aca="false">1/(1+$C$29)^B23</f>
        <v>0.629249663297074</v>
      </c>
      <c r="G23" s="16" t="n">
        <f aca="false">(D23+E23)*F23</f>
        <v>0</v>
      </c>
    </row>
    <row r="24" customFormat="false" ht="15" hidden="false" customHeight="false" outlineLevel="0" collapsed="false">
      <c r="B24" s="14" t="n">
        <v>7</v>
      </c>
      <c r="C24" s="18"/>
      <c r="D24" s="16" t="n">
        <f aca="false">IF(B24&lt;=$C$14,D23*(1+C24),0)</f>
        <v>0</v>
      </c>
      <c r="E24" s="16" t="n">
        <f aca="false">IF(B24=$C$14,D24*(1+$C$12)/($C$29-$C$12),0)</f>
        <v>0</v>
      </c>
      <c r="F24" s="17" t="n">
        <f aca="false">1/(1+$C$29)^B24</f>
        <v>0.582496728386582</v>
      </c>
      <c r="G24" s="16" t="n">
        <f aca="false">(D24+E24)*F24</f>
        <v>0</v>
      </c>
    </row>
    <row r="25" customFormat="false" ht="15" hidden="false" customHeight="false" outlineLevel="0" collapsed="false">
      <c r="B25" s="14" t="n">
        <v>8</v>
      </c>
      <c r="C25" s="18"/>
      <c r="D25" s="16" t="n">
        <f aca="false">IF(B25&lt;=$C$14,D24*(1+C25),0)</f>
        <v>0</v>
      </c>
      <c r="E25" s="16" t="n">
        <f aca="false">IF(B25=$C$14,D25*(1+$C$12)/($C$29-$C$12),0)</f>
        <v>0</v>
      </c>
      <c r="F25" s="17" t="n">
        <f aca="false">1/(1+$C$29)^B25</f>
        <v>0.539217513130212</v>
      </c>
      <c r="G25" s="16" t="n">
        <f aca="false">(D25+E25)*F25</f>
        <v>0</v>
      </c>
    </row>
    <row r="26" customFormat="false" ht="15" hidden="false" customHeight="false" outlineLevel="0" collapsed="false">
      <c r="B26" s="14" t="n">
        <v>9</v>
      </c>
      <c r="C26" s="18"/>
      <c r="D26" s="16" t="n">
        <f aca="false">IF(B26&lt;=$C$14,D25*(1+C26),0)</f>
        <v>0</v>
      </c>
      <c r="E26" s="16" t="n">
        <f aca="false">IF(B26=$C$14,D26*(1+$C$12)/($C$29-$C$12),0)</f>
        <v>0</v>
      </c>
      <c r="F26" s="17" t="n">
        <f aca="false">1/(1+$C$29)^B26</f>
        <v>0.499153921896993</v>
      </c>
      <c r="G26" s="16" t="n">
        <f aca="false">(D26+E26)*F26</f>
        <v>0</v>
      </c>
    </row>
    <row r="27" customFormat="false" ht="15" hidden="false" customHeight="false" outlineLevel="0" collapsed="false">
      <c r="B27" s="14" t="n">
        <v>10</v>
      </c>
      <c r="C27" s="18"/>
      <c r="D27" s="16" t="n">
        <f aca="false">IF(B27&lt;=$C$14,D26*(1+C27),0)</f>
        <v>0</v>
      </c>
      <c r="E27" s="16" t="n">
        <f aca="false">IF(B27=$C$14,D27*(1+$C$12)/($C$29-$C$12),0)</f>
        <v>0</v>
      </c>
      <c r="F27" s="17" t="n">
        <f aca="false">1/(1+$C$29)^B27</f>
        <v>0.462067035432106</v>
      </c>
      <c r="G27" s="16" t="n">
        <f aca="false">(D27+E27)*F27</f>
        <v>0</v>
      </c>
    </row>
    <row r="29" customFormat="false" ht="15" hidden="false" customHeight="false" outlineLevel="0" collapsed="false">
      <c r="B29" s="19" t="s">
        <v>32</v>
      </c>
      <c r="C29" s="20" t="n">
        <v>0.080263</v>
      </c>
    </row>
    <row r="30" customFormat="false" ht="15" hidden="false" customHeight="false" outlineLevel="0" collapsed="false">
      <c r="B30" s="5" t="s">
        <v>33</v>
      </c>
      <c r="C30" s="12" t="n">
        <f aca="false">SUM(G18:G27)</f>
        <v>599.997684711009</v>
      </c>
    </row>
    <row r="31" customFormat="false" ht="15" hidden="false" customHeight="false" outlineLevel="0" collapsed="false">
      <c r="B31" s="5" t="s">
        <v>34</v>
      </c>
      <c r="C31" s="21" t="n">
        <f aca="false">C6</f>
        <v>600</v>
      </c>
    </row>
    <row r="32" customFormat="false" ht="15" hidden="false" customHeight="false" outlineLevel="0" collapsed="false">
      <c r="B32" s="19" t="s">
        <v>35</v>
      </c>
      <c r="C32" s="22" t="n">
        <f aca="false">C30-C31</f>
        <v>-0.00231528899075784</v>
      </c>
    </row>
    <row r="34" customFormat="false" ht="15" hidden="false" customHeight="false" outlineLevel="0" collapsed="false">
      <c r="B34" s="19" t="s">
        <v>36</v>
      </c>
      <c r="C34" s="9" t="n">
        <f aca="false">C29</f>
        <v>0.080263</v>
      </c>
    </row>
    <row r="35" customFormat="false" ht="15" hidden="false" customHeight="false" outlineLevel="0" collapsed="false">
      <c r="B35" s="23" t="s">
        <v>37</v>
      </c>
      <c r="C35" s="24" t="n">
        <f aca="false">C34-C11</f>
        <v>0.037263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38</v>
      </c>
    </row>
    <row r="2" customFormat="false" ht="15" hidden="false" customHeight="false" outlineLevel="0" collapsed="false">
      <c r="B2" s="25"/>
    </row>
    <row r="3" customFormat="false" ht="15" hidden="false" customHeight="false" outlineLevel="0" collapsed="false">
      <c r="B3" s="19" t="s">
        <v>39</v>
      </c>
    </row>
    <row r="4" customFormat="false" ht="15" hidden="false" customHeight="false" outlineLevel="0" collapsed="false">
      <c r="B4" s="25" t="s">
        <v>40</v>
      </c>
    </row>
    <row r="5" customFormat="false" ht="15" hidden="false" customHeight="false" outlineLevel="0" collapsed="false">
      <c r="B5" s="2" t="s">
        <v>41</v>
      </c>
    </row>
    <row r="6" customFormat="false" ht="15" hidden="false" customHeight="false" outlineLevel="0" collapsed="false">
      <c r="B6" s="25"/>
    </row>
    <row r="7" customFormat="false" ht="15" hidden="false" customHeight="false" outlineLevel="0" collapsed="false">
      <c r="B7" s="19" t="s">
        <v>42</v>
      </c>
    </row>
    <row r="8" customFormat="false" ht="15" hidden="false" customHeight="false" outlineLevel="0" collapsed="false">
      <c r="B8" s="25" t="s">
        <v>43</v>
      </c>
    </row>
    <row r="9" customFormat="false" ht="15" hidden="false" customHeight="false" outlineLevel="0" collapsed="false">
      <c r="B9" s="25" t="s">
        <v>44</v>
      </c>
    </row>
    <row r="10" customFormat="false" ht="15" hidden="false" customHeight="false" outlineLevel="0" collapsed="false">
      <c r="B10" s="25" t="s">
        <v>45</v>
      </c>
    </row>
    <row r="11" customFormat="false" ht="15" hidden="false" customHeight="false" outlineLevel="0" collapsed="false">
      <c r="B11" s="25"/>
    </row>
    <row r="12" customFormat="false" ht="15" hidden="false" customHeight="false" outlineLevel="0" collapsed="false">
      <c r="B12" s="19" t="s">
        <v>46</v>
      </c>
    </row>
    <row r="13" customFormat="false" ht="15" hidden="false" customHeight="false" outlineLevel="0" collapsed="false">
      <c r="B13" s="25" t="s">
        <v>47</v>
      </c>
    </row>
    <row r="14" customFormat="false" ht="15" hidden="false" customHeight="false" outlineLevel="0" collapsed="false">
      <c r="B14" s="25" t="s">
        <v>48</v>
      </c>
    </row>
    <row r="15" customFormat="false" ht="15" hidden="false" customHeight="false" outlineLevel="0" collapsed="false">
      <c r="B15" s="25" t="s">
        <v>49</v>
      </c>
    </row>
    <row r="16" customFormat="false" ht="15" hidden="false" customHeight="false" outlineLevel="0" collapsed="false">
      <c r="B16" s="25"/>
    </row>
    <row r="17" customFormat="false" ht="15" hidden="false" customHeight="false" outlineLevel="0" collapsed="false">
      <c r="B17" s="19" t="s">
        <v>50</v>
      </c>
    </row>
    <row r="18" customFormat="false" ht="15" hidden="false" customHeight="false" outlineLevel="0" collapsed="false">
      <c r="B18" s="25" t="s">
        <v>51</v>
      </c>
    </row>
    <row r="19" customFormat="false" ht="15" hidden="false" customHeight="false" outlineLevel="0" collapsed="false">
      <c r="B19" s="25" t="s">
        <v>52</v>
      </c>
    </row>
    <row r="20" customFormat="false" ht="15" hidden="false" customHeight="false" outlineLevel="0" collapsed="false">
      <c r="B20" s="25" t="s">
        <v>53</v>
      </c>
    </row>
    <row r="21" customFormat="false" ht="15" hidden="false" customHeight="false" outlineLevel="0" collapsed="false">
      <c r="B21" s="25"/>
    </row>
    <row r="22" customFormat="false" ht="15" hidden="false" customHeight="false" outlineLevel="0" collapsed="false">
      <c r="B22" s="19" t="s">
        <v>54</v>
      </c>
    </row>
    <row r="23" customFormat="false" ht="15" hidden="false" customHeight="false" outlineLevel="0" collapsed="false">
      <c r="B23" s="25" t="s">
        <v>55</v>
      </c>
    </row>
    <row r="24" customFormat="false" ht="15" hidden="false" customHeight="false" outlineLevel="0" collapsed="false">
      <c r="B24" s="25"/>
    </row>
    <row r="25" customFormat="false" ht="15" hidden="false" customHeight="false" outlineLevel="0" collapsed="false">
      <c r="B25" s="19" t="s">
        <v>56</v>
      </c>
    </row>
    <row r="26" customFormat="false" ht="15" hidden="false" customHeight="false" outlineLevel="0" collapsed="false">
      <c r="B26" s="25" t="s">
        <v>57</v>
      </c>
    </row>
    <row r="27" customFormat="false" ht="15" hidden="false" customHeight="false" outlineLevel="0" collapsed="false">
      <c r="B27" s="25" t="s">
        <v>58</v>
      </c>
    </row>
    <row r="28" customFormat="false" ht="15" hidden="false" customHeight="false" outlineLevel="0" collapsed="false">
      <c r="B28" s="25" t="s">
        <v>59</v>
      </c>
    </row>
    <row r="29" customFormat="false" ht="15" hidden="false" customHeight="false" outlineLevel="0" collapsed="false">
      <c r="B29" s="25"/>
    </row>
    <row r="30" customFormat="false" ht="15" hidden="false" customHeight="false" outlineLevel="0" collapsed="false">
      <c r="B30" s="2" t="s">
        <v>60</v>
      </c>
    </row>
    <row r="31" customFormat="false" ht="15" hidden="false" customHeight="false" outlineLevel="0" collapsed="false">
      <c r="B31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2026-06-21T05:51:50Z</dcterms:created>
  <dc:creator>openpyxl</dc:creator>
  <dc:description/>
  <dc:language>en-US</dc:language>
  <cp:lastModifiedBy/>
  <dcterms:modified xsi:type="dcterms:W3CDTF">2026-06-21T05:51:50Z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