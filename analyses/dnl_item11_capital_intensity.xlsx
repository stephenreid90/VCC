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Inputs" sheetId="2" state="visible" r:id="rId4"/>
    <sheet name="1 Ruled build" sheetId="3" state="visible" r:id="rId5"/>
    <sheet name="2 Hold intensity" sheetId="4" state="visible" r:id="rId6"/>
    <sheet name="3 Volume + inflation" sheetId="5" state="visible" r:id="rId7"/>
    <sheet name="4 Volume, held flat" sheetId="6" state="visible" r:id="rId8"/>
    <sheet name="Comparison" sheetId="7" state="visible" r:id="rId9"/>
    <sheet name="Six scenario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<sst xmlns="http://schemas.openxmlformats.org/spreadsheetml/2006/main" count="344" uniqueCount="153">
  <si>
    <t xml:space="preserve">DNL — item 11: what the explicit period does to capital intensity</t>
  </si>
  <si>
    <t xml:space="preserve">What this is</t>
  </si>
  <si>
    <t xml:space="preserve">Four ways of deciding how much capital Denali has to put back into the business over the ten-year explicit period, each carried all the way through to a value per share. Every sheet is live: change an input on 'Inputs' and all four rebuild.</t>
  </si>
  <si>
    <t xml:space="preserve">The four sheets differ in exactly one block of rows — the capex derivation. Everything above and below it is identical, so the difference in the answer is attributable to that block and to nothing else.</t>
  </si>
  <si>
    <t xml:space="preserve">Why it matters</t>
  </si>
  <si>
    <t xml:space="preserve">Capex converging to 7.3% of revenue matters because D&amp;A is also 7.3%. A business reinvesting exactly what it depreciates adds no net fixed capital. Denali's revenue compounds about 50% over the ten years, so its invested capital falls from 108% of revenue to 73%. That thinning, not a competitive moat, is what produces the high terminal return the framework then capitalises forever.</t>
  </si>
  <si>
    <t xml:space="preserve">The four positions</t>
  </si>
  <si>
    <t xml:space="preserve">1 Ruled build</t>
  </si>
  <si>
    <t xml:space="preserve">Capex follows the declared path: 7.86% in Y1 converging to 7.3% by Y5 (D-38). 7.3% is also D&amp;A, so from Y5 the fixed asset base stops growing in nominal terms.</t>
  </si>
  <si>
    <t xml:space="preserve">2 Hold intensity</t>
  </si>
  <si>
    <t xml:space="preserve">Capex is whatever restores the opening ratio of fixed capital to revenue, every year. The asset base grows exactly as fast as revenue.</t>
  </si>
  <si>
    <t xml:space="preserve">3 Volume + inflation</t>
  </si>
  <si>
    <t xml:space="preserve">Capital grows at the volume half of each year's revenue growth, inflated at asset inflation. Pricing growth needs no new capacity; volume and replacement cost do.</t>
  </si>
  <si>
    <t xml:space="preserve">4 Volume, held flat</t>
  </si>
  <si>
    <t xml:space="preserve">The same basis with the chain's volume rate held for all ten years instead of fading with revenue. This is how the 25 August handover struck it.</t>
  </si>
  <si>
    <t xml:space="preserve">Colour convention</t>
  </si>
  <si>
    <t xml:space="preserve">Blue text is a hardcoded input you can change. Black is a formula. Green is a link to another sheet. Yellow fill marks the assumption each position turns on.</t>
  </si>
  <si>
    <t xml:space="preserve">Scope</t>
  </si>
  <si>
    <t xml:space="preserve">Muddle Through only — the central case, and the one the decision is argued on. 'Six scenarios' carries the levels for all six under each position, computed in the repository harness rather than in this workbook.</t>
  </si>
  <si>
    <t xml:space="preserve">Source</t>
  </si>
  <si>
    <t xml:space="preserve">Inputs are the live DNL data files as at the 25 May 2026 valuation date, read through the translator. Invested capital of 3,681.1m is D-44: net PP&amp;E plus intangibles plus non-cash working capital, goodwill excluded. Generated 26 August 2026.</t>
  </si>
  <si>
    <t xml:space="preserve">DNL — Muddle Through, inputs</t>
  </si>
  <si>
    <t xml:space="preserve">Blue cells are inputs. Change one and every position sheet rebuilds.</t>
  </si>
  <si>
    <t xml:space="preserve">Scalar assumptions</t>
  </si>
  <si>
    <t xml:space="preserve">Base year revenue ($mm)</t>
  </si>
  <si>
    <t xml:space="preserve">FY2026 normalised revenue</t>
  </si>
  <si>
    <t xml:space="preserve">Stub period (years)</t>
  </si>
  <si>
    <t xml:space="preserve">25 May 2026 to 30 September 2026</t>
  </si>
  <si>
    <t xml:space="preserve">Base EBIT margin</t>
  </si>
  <si>
    <t xml:space="preserve">Normalised, before scenario overlays</t>
  </si>
  <si>
    <t xml:space="preserve">D&amp;A, % of revenue</t>
  </si>
  <si>
    <t xml:space="preserve">Held flat across the horizon</t>
  </si>
  <si>
    <t xml:space="preserve">Capex in the stub, % of revenue</t>
  </si>
  <si>
    <t xml:space="preserve">Declared separately from Y1</t>
  </si>
  <si>
    <t xml:space="preserve">Working capital intensity</t>
  </si>
  <si>
    <t xml:space="preserve">Applied to the change in the revenue run-rate (D-29)</t>
  </si>
  <si>
    <t xml:space="preserve">Tax rate, stub</t>
  </si>
  <si>
    <t xml:space="preserve">Glides per year below</t>
  </si>
  <si>
    <t xml:space="preserve">WACC</t>
  </si>
  <si>
    <t xml:space="preserve">Scalar, per the live build</t>
  </si>
  <si>
    <t xml:space="preserve">Terminal growth (g)</t>
  </si>
  <si>
    <t xml:space="preserve">Declared basis pending D-45</t>
  </si>
  <si>
    <t xml:space="preserve">Invested capital at valuation date ($mm)</t>
  </si>
  <si>
    <t xml:space="preserve">D-44: net PP&amp;E + intangibles + NCWC, goodwill excluded</t>
  </si>
  <si>
    <t xml:space="preserve">Growth chain (the split that decides positions 3 and 4)</t>
  </si>
  <si>
    <t xml:space="preserve">Chain nominal growth (B42)</t>
  </si>
  <si>
    <t xml:space="preserve">What the explicit period grows at before the fade</t>
  </si>
  <si>
    <t xml:space="preserve">Industry volume growth (B25)</t>
  </si>
  <si>
    <t xml:space="preserve">Needs capacity</t>
  </si>
  <si>
    <t xml:space="preserve">Industry pricing growth (B29)</t>
  </si>
  <si>
    <t xml:space="preserve">Does not need capacity</t>
  </si>
  <si>
    <t xml:space="preserve">Asset inflation used</t>
  </si>
  <si>
    <t xml:space="preserve">Set equal to terminal growth; change here to test it</t>
  </si>
  <si>
    <t xml:space="preserve">Equity bridge ($mm)</t>
  </si>
  <si>
    <t xml:space="preserve">Net debt at valuation date</t>
  </si>
  <si>
    <t xml:space="preserve">Other bridge adjustments, net</t>
  </si>
  <si>
    <t xml:space="preserve">Lease liabilities</t>
  </si>
  <si>
    <t xml:space="preserve">Shares outstanding (m)</t>
  </si>
  <si>
    <t xml:space="preserve">Per-year inputs</t>
  </si>
  <si>
    <t xml:space="preserve">Year</t>
  </si>
  <si>
    <t xml:space="preserve">Y1</t>
  </si>
  <si>
    <t xml:space="preserve">Y2</t>
  </si>
  <si>
    <t xml:space="preserve">Y3</t>
  </si>
  <si>
    <t xml:space="preserve">Y4</t>
  </si>
  <si>
    <t xml:space="preserve">Y5</t>
  </si>
  <si>
    <t xml:space="preserve">Y6</t>
  </si>
  <si>
    <t xml:space="preserve">Y7</t>
  </si>
  <si>
    <t xml:space="preserve">Y8</t>
  </si>
  <si>
    <t xml:space="preserve">Y9</t>
  </si>
  <si>
    <t xml:space="preserve">Y10</t>
  </si>
  <si>
    <t xml:space="preserve">Revenue growth (faded)</t>
  </si>
  <si>
    <t xml:space="preserve">Chain rate for five years, then a linear glide onto g in Y10 (D-36)</t>
  </si>
  <si>
    <t xml:space="preserve">Margin overlay vs base (pp)</t>
  </si>
  <si>
    <t xml:space="preserve">Transformation plus the re-phased gas roll-off (D-40)</t>
  </si>
  <si>
    <t xml:space="preserve">Tax rate</t>
  </si>
  <si>
    <t xml:space="preserve">Capex, % of revenue — position 1 only</t>
  </si>
  <si>
    <t xml:space="preserve">Converges to 7.3% by Y5 (D-38). Positions 2-4 derive their own.</t>
  </si>
  <si>
    <t xml:space="preserve">1 Ruled build — Muddle Through</t>
  </si>
  <si>
    <t xml:space="preserve">Period</t>
  </si>
  <si>
    <t xml:space="preserve">Stub</t>
  </si>
  <si>
    <t xml:space="preserve">Revenue ($mm)</t>
  </si>
  <si>
    <t xml:space="preserve">Revenue run-rate at period end ($mm)</t>
  </si>
  <si>
    <t xml:space="preserve">EBIT margin</t>
  </si>
  <si>
    <t xml:space="preserve">EBIT ($mm)</t>
  </si>
  <si>
    <t xml:space="preserve">NOPAT ($mm)</t>
  </si>
  <si>
    <t xml:space="preserve">D&amp;A ($mm)</t>
  </si>
  <si>
    <t xml:space="preserve">The capex derivation — the only block that differs</t>
  </si>
  <si>
    <t xml:space="preserve">Capex, % of revenue (declared path)</t>
  </si>
  <si>
    <t xml:space="preserve">Capex less D&amp;A, % of revenue</t>
  </si>
  <si>
    <t xml:space="preserve">Zero from Y5: no net fixed capital is added.</t>
  </si>
  <si>
    <t xml:space="preserve">Capex ($mm)</t>
  </si>
  <si>
    <t xml:space="preserve">Increase in working capital ($mm)</t>
  </si>
  <si>
    <t xml:space="preserve">Free cash flow to the firm ($mm)</t>
  </si>
  <si>
    <t xml:space="preserve">Discounting time (mid-year, years)</t>
  </si>
  <si>
    <t xml:space="preserve">Present value of FCFF ($mm)</t>
  </si>
  <si>
    <t xml:space="preserve">Invested capital, rolled forward</t>
  </si>
  <si>
    <t xml:space="preserve">Invested capital, closing ($mm)</t>
  </si>
  <si>
    <t xml:space="preserve">Invested capital ÷ revenue</t>
  </si>
  <si>
    <t xml:space="preserve">Opening against Y10 is the whole of item 11.</t>
  </si>
  <si>
    <t xml:space="preserve">The terminal</t>
  </si>
  <si>
    <t xml:space="preserve">Terminal revenue ($mm)</t>
  </si>
  <si>
    <t xml:space="preserve">Fixed capital at the end of Y10 ($mm)</t>
  </si>
  <si>
    <t xml:space="preserve">Terminal capex, % of revenue</t>
  </si>
  <si>
    <t xml:space="preserve">The rate that grows the fixed base at g forever (D&amp;A plus g times the base).</t>
  </si>
  <si>
    <t xml:space="preserve">Terminal FCFF ($mm)</t>
  </si>
  <si>
    <t xml:space="preserve">Terminal value ($mm)</t>
  </si>
  <si>
    <t xml:space="preserve">Present value of the terminal ($mm)</t>
  </si>
  <si>
    <t xml:space="preserve">Terminal NOPAT ($mm)</t>
  </si>
  <si>
    <t xml:space="preserve">Terminal return on invested capital</t>
  </si>
  <si>
    <t xml:space="preserve">Terminal ROIC ÷ WACC</t>
  </si>
  <si>
    <t xml:space="preserve">Above 1.0x is an excess return the build has to defend.</t>
  </si>
  <si>
    <t xml:space="preserve">Value</t>
  </si>
  <si>
    <t xml:space="preserve">Present value of the explicit period ($mm)</t>
  </si>
  <si>
    <t xml:space="preserve">Enterprise value ($mm)</t>
  </si>
  <si>
    <t xml:space="preserve">Terminal share of enterprise value</t>
  </si>
  <si>
    <t xml:space="preserve">Above 70% triggers the §11.4.2 sensitivity obligation.</t>
  </si>
  <si>
    <t xml:space="preserve">Less net debt ($mm)</t>
  </si>
  <si>
    <t xml:space="preserve">Less other bridge adjustments ($mm)</t>
  </si>
  <si>
    <t xml:space="preserve">Less lease liabilities ($mm)</t>
  </si>
  <si>
    <t xml:space="preserve">Equity value ($mm)</t>
  </si>
  <si>
    <t xml:space="preserve">Value per share ($)</t>
  </si>
  <si>
    <t xml:space="preserve">2 Hold intensity — Muddle Through</t>
  </si>
  <si>
    <t xml:space="preserve">Fixed capital at valuation date ($mm)</t>
  </si>
  <si>
    <t xml:space="preserve">Invested capital less the working-capital stock</t>
  </si>
  <si>
    <t xml:space="preserve">Opening fixed capital ÷ revenue</t>
  </si>
  <si>
    <t xml:space="preserve">Held constant in every year below</t>
  </si>
  <si>
    <t xml:space="preserve">Fixed capital growth (= revenue growth)</t>
  </si>
  <si>
    <t xml:space="preserve">Fixed capital, closing ($mm)</t>
  </si>
  <si>
    <t xml:space="preserve">Growth in the asset base, plus replacement of what depreciated.</t>
  </si>
  <si>
    <t xml:space="preserve">Capex, % of revenue (implied)</t>
  </si>
  <si>
    <t xml:space="preserve">3 Volume + inflation — Muddle Through</t>
  </si>
  <si>
    <t xml:space="preserve">Fixed capital growth (volume + inflation)</t>
  </si>
  <si>
    <t xml:space="preserve">Strip the pricing rate out of the year's growth, leaving volume; inflate that.</t>
  </si>
  <si>
    <t xml:space="preserve">4 Volume, held flat — Muddle Through</t>
  </si>
  <si>
    <t xml:space="preserve">Fixed capital growth (chain volume + inflation)</t>
  </si>
  <si>
    <t xml:space="preserve">The four positions, side by side</t>
  </si>
  <si>
    <t xml:space="preserve">Muddle Through. Every figure is a live link to the sheet named above it.</t>
  </si>
  <si>
    <t xml:space="preserve">Invested capital ÷ revenue, Y10</t>
  </si>
  <si>
    <t xml:space="preserve">Opens at 108.3% in every position</t>
  </si>
  <si>
    <t xml:space="preserve">WACC is 8.88%</t>
  </si>
  <si>
    <t xml:space="preserve">Above 1.0x needs a defence</t>
  </si>
  <si>
    <t xml:space="preserve">Above 70% triggers §11.4.2</t>
  </si>
  <si>
    <t xml:space="preserve">Against the current published level of $2.6956</t>
  </si>
  <si>
    <t xml:space="preserve">All six scenarios, each position</t>
  </si>
  <si>
    <t xml:space="preserve">Computed in the repository harness (scripts/size_horizon_variants.py), not in this workbook. Only Muddle Through is built out cell by cell here.</t>
  </si>
  <si>
    <t xml:space="preserve">Scenario</t>
  </si>
  <si>
    <t xml:space="preserve">Orderly Convergence</t>
  </si>
  <si>
    <t xml:space="preserve">Muddle Through</t>
  </si>
  <si>
    <t xml:space="preserve">Ai Productivity Lag</t>
  </si>
  <si>
    <t xml:space="preserve">Fragmentation</t>
  </si>
  <si>
    <t xml:space="preserve">Disorderly Climate</t>
  </si>
  <si>
    <t xml:space="preserve">Stagflation Persists</t>
  </si>
  <si>
    <t xml:space="preserve">Disorderly Climate is the exception: its capex arc, not the convergence rule, sets its path, so the positions collapse together there.</t>
  </si>
</sst>
</file>

<file path=xl/styles.xml><?xml version="1.0" encoding="utf-8"?>
<styleSheet xmlns="http://schemas.openxmlformats.org/spreadsheetml/2006/main">
  <numFmts count="10">
    <numFmt numFmtId="164" formatCode="General"/>
    <numFmt numFmtId="165" formatCode="\$#,##0.0;&quot;($&quot;#,##0.0\);\-"/>
    <numFmt numFmtId="166" formatCode="0.000"/>
    <numFmt numFmtId="167" formatCode="0.00%"/>
    <numFmt numFmtId="168" formatCode="0.000%"/>
    <numFmt numFmtId="169" formatCode="#,##0.0"/>
    <numFmt numFmtId="170" formatCode="0.0%"/>
    <numFmt numFmtId="171" formatCode="0.00\x"/>
    <numFmt numFmtId="172" formatCode="\$#,##0.0000"/>
    <numFmt numFmtId="173" formatCode="\+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sz val="10"/>
      <name val="Arial"/>
      <family val="0"/>
      <charset val="1"/>
    </font>
    <font>
      <b val="true"/>
      <sz val="10"/>
      <name val="Arial"/>
      <family val="0"/>
      <charset val="1"/>
    </font>
    <font>
      <i val="true"/>
      <sz val="10"/>
      <color rgb="FF595959"/>
      <name val="Arial"/>
      <family val="0"/>
      <charset val="1"/>
    </font>
    <font>
      <sz val="10"/>
      <color rgb="FF0000FF"/>
      <name val="Arial"/>
      <family val="0"/>
      <charset val="1"/>
    </font>
    <font>
      <sz val="10"/>
      <color rgb="FF008000"/>
      <name val="Arial"/>
      <family val="0"/>
      <charset val="1"/>
    </font>
    <font>
      <b val="true"/>
      <sz val="12"/>
      <color rgb="FF008000"/>
      <name val="Arial"/>
      <family val="0"/>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8" fontId="9" fillId="2"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7" fontId="6" fillId="2"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5" fillId="2"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72" fontId="11" fillId="0" borderId="0" xfId="0" applyFont="true" applyBorder="false" applyAlignment="true" applyProtection="false">
      <alignment horizontal="center" vertical="bottom" textRotation="0" wrapText="false" indent="0" shrinkToFit="false"/>
      <protection locked="true" hidden="false"/>
    </xf>
    <xf numFmtId="170" fontId="10" fillId="0" borderId="0" xfId="0" applyFont="true" applyBorder="false" applyAlignment="true" applyProtection="false">
      <alignment horizontal="center" vertical="bottom" textRotation="0" wrapText="false" indent="0" shrinkToFit="false"/>
      <protection locked="true" hidden="false"/>
    </xf>
    <xf numFmtId="167" fontId="10" fillId="0" borderId="0" xfId="0" applyFont="true" applyBorder="false" applyAlignment="true" applyProtection="false">
      <alignment horizontal="center" vertical="bottom" textRotation="0" wrapText="false" indent="0" shrinkToFit="false"/>
      <protection locked="true" hidden="false"/>
    </xf>
    <xf numFmtId="171" fontId="10" fillId="0" borderId="0" xfId="0" applyFont="true" applyBorder="false" applyAlignment="true" applyProtection="false">
      <alignment horizontal="center" vertical="bottom" textRotation="0" wrapText="false" indent="0" shrinkToFit="false"/>
      <protection locked="true" hidden="false"/>
    </xf>
    <xf numFmtId="173" fontId="6" fillId="0" borderId="0" xfId="0" applyFont="true" applyBorder="false" applyAlignment="true" applyProtection="false">
      <alignment horizontal="center" vertical="bottom" textRotation="0" wrapText="false" indent="0" shrinkToFit="false"/>
      <protection locked="true" hidden="false"/>
    </xf>
    <xf numFmtId="172" fontId="9" fillId="0" borderId="0" xfId="0" applyFont="true" applyBorder="false" applyAlignment="true" applyProtection="false">
      <alignment horizontal="center" vertical="bottom" textRotation="0" wrapText="false" indent="0" shrinkToFit="false"/>
      <protection locked="true" hidden="false"/>
    </xf>
    <xf numFmtId="172" fontId="7"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4"/>
  </cols>
  <sheetData>
    <row r="2" customFormat="false" ht="17.35" hidden="false" customHeight="false" outlineLevel="0" collapsed="false">
      <c r="B2" s="1" t="s">
        <v>0</v>
      </c>
    </row>
    <row r="4" customFormat="false" ht="15" hidden="false" customHeight="false" outlineLevel="0" collapsed="false">
      <c r="B4" s="2" t="s">
        <v>1</v>
      </c>
    </row>
    <row r="5" customFormat="false" ht="42" hidden="false" customHeight="true" outlineLevel="0" collapsed="false">
      <c r="B5" s="3" t="s">
        <v>2</v>
      </c>
    </row>
    <row r="6" customFormat="false" ht="42" hidden="false" customHeight="true" outlineLevel="0" collapsed="false">
      <c r="B6" s="3" t="s">
        <v>3</v>
      </c>
    </row>
    <row r="8" customFormat="false" ht="15" hidden="false" customHeight="false" outlineLevel="0" collapsed="false">
      <c r="B8" s="2" t="s">
        <v>4</v>
      </c>
    </row>
    <row r="9" customFormat="false" ht="55.5" hidden="false" customHeight="true" outlineLevel="0" collapsed="false">
      <c r="B9" s="3" t="s">
        <v>5</v>
      </c>
    </row>
    <row r="11" customFormat="false" ht="15" hidden="false" customHeight="false" outlineLevel="0" collapsed="false">
      <c r="B11" s="2" t="s">
        <v>6</v>
      </c>
    </row>
    <row r="12" customFormat="false" ht="15" hidden="false" customHeight="false" outlineLevel="0" collapsed="false">
      <c r="B12" s="4" t="s">
        <v>7</v>
      </c>
    </row>
    <row r="13" customFormat="false" ht="27.75" hidden="false" customHeight="true" outlineLevel="0" collapsed="false">
      <c r="B13" s="3" t="s">
        <v>8</v>
      </c>
    </row>
    <row r="15" customFormat="false" ht="15" hidden="false" customHeight="false" outlineLevel="0" collapsed="false">
      <c r="B15" s="4" t="s">
        <v>9</v>
      </c>
    </row>
    <row r="16" customFormat="false" ht="27.75" hidden="false" customHeight="true" outlineLevel="0" collapsed="false">
      <c r="B16" s="3" t="s">
        <v>10</v>
      </c>
    </row>
    <row r="18" customFormat="false" ht="15" hidden="false" customHeight="false" outlineLevel="0" collapsed="false">
      <c r="B18" s="4" t="s">
        <v>11</v>
      </c>
    </row>
    <row r="19" customFormat="false" ht="27.75" hidden="false" customHeight="true" outlineLevel="0" collapsed="false">
      <c r="B19" s="3" t="s">
        <v>12</v>
      </c>
    </row>
    <row r="21" customFormat="false" ht="15" hidden="false" customHeight="false" outlineLevel="0" collapsed="false">
      <c r="B21" s="4" t="s">
        <v>13</v>
      </c>
    </row>
    <row r="22" customFormat="false" ht="27.75" hidden="false" customHeight="true" outlineLevel="0" collapsed="false">
      <c r="B22" s="3" t="s">
        <v>14</v>
      </c>
    </row>
    <row r="24" customFormat="false" ht="15" hidden="false" customHeight="false" outlineLevel="0" collapsed="false">
      <c r="B24" s="2" t="s">
        <v>15</v>
      </c>
    </row>
    <row r="25" customFormat="false" ht="27.75" hidden="false" customHeight="true" outlineLevel="0" collapsed="false">
      <c r="B25" s="3" t="s">
        <v>16</v>
      </c>
    </row>
    <row r="27" customFormat="false" ht="15" hidden="false" customHeight="false" outlineLevel="0" collapsed="false">
      <c r="B27" s="2" t="s">
        <v>17</v>
      </c>
    </row>
    <row r="28" customFormat="false" ht="42" hidden="false" customHeight="true" outlineLevel="0" collapsed="false">
      <c r="B28" s="3" t="s">
        <v>18</v>
      </c>
    </row>
    <row r="30" customFormat="false" ht="15" hidden="false" customHeight="false" outlineLevel="0" collapsed="false">
      <c r="B30" s="2" t="s">
        <v>19</v>
      </c>
    </row>
    <row r="31" customFormat="false" ht="42" hidden="false" customHeight="true" outlineLevel="0" collapsed="false">
      <c r="B31"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46"/>
  </cols>
  <sheetData>
    <row r="1" customFormat="false" ht="17.35" hidden="false" customHeight="false" outlineLevel="0" collapsed="false">
      <c r="A1" s="1" t="s">
        <v>21</v>
      </c>
    </row>
    <row r="2" customFormat="false" ht="15" hidden="false" customHeight="false" outlineLevel="0" collapsed="false">
      <c r="A2" s="5" t="s">
        <v>22</v>
      </c>
    </row>
    <row r="4" customFormat="false" ht="15" hidden="false" customHeight="false" outlineLevel="0" collapsed="false">
      <c r="A4" s="6" t="s">
        <v>23</v>
      </c>
    </row>
    <row r="5" customFormat="false" ht="15" hidden="false" customHeight="false" outlineLevel="0" collapsed="false">
      <c r="A5" s="7" t="s">
        <v>24</v>
      </c>
      <c r="B5" s="8" t="n">
        <v>3400</v>
      </c>
      <c r="C5" s="5" t="s">
        <v>25</v>
      </c>
    </row>
    <row r="6" customFormat="false" ht="15" hidden="false" customHeight="false" outlineLevel="0" collapsed="false">
      <c r="A6" s="7" t="s">
        <v>26</v>
      </c>
      <c r="B6" s="9" t="n">
        <v>0.351</v>
      </c>
      <c r="C6" s="5" t="s">
        <v>27</v>
      </c>
    </row>
    <row r="7" customFormat="false" ht="15" hidden="false" customHeight="false" outlineLevel="0" collapsed="false">
      <c r="A7" s="7" t="s">
        <v>28</v>
      </c>
      <c r="B7" s="10" t="n">
        <v>0.141</v>
      </c>
      <c r="C7" s="5" t="s">
        <v>29</v>
      </c>
    </row>
    <row r="8" customFormat="false" ht="15" hidden="false" customHeight="false" outlineLevel="0" collapsed="false">
      <c r="A8" s="7" t="s">
        <v>30</v>
      </c>
      <c r="B8" s="10" t="n">
        <v>0.073</v>
      </c>
      <c r="C8" s="5" t="s">
        <v>31</v>
      </c>
    </row>
    <row r="9" customFormat="false" ht="15" hidden="false" customHeight="false" outlineLevel="0" collapsed="false">
      <c r="A9" s="7" t="s">
        <v>32</v>
      </c>
      <c r="B9" s="10" t="n">
        <v>0.08</v>
      </c>
      <c r="C9" s="5" t="s">
        <v>33</v>
      </c>
    </row>
    <row r="10" customFormat="false" ht="15" hidden="false" customHeight="false" outlineLevel="0" collapsed="false">
      <c r="A10" s="7" t="s">
        <v>34</v>
      </c>
      <c r="B10" s="10" t="n">
        <v>0.1376</v>
      </c>
      <c r="C10" s="5" t="s">
        <v>35</v>
      </c>
    </row>
    <row r="11" customFormat="false" ht="15" hidden="false" customHeight="false" outlineLevel="0" collapsed="false">
      <c r="A11" s="7" t="s">
        <v>36</v>
      </c>
      <c r="B11" s="10" t="n">
        <v>0.225</v>
      </c>
      <c r="C11" s="5" t="s">
        <v>37</v>
      </c>
    </row>
    <row r="12" customFormat="false" ht="15" hidden="false" customHeight="false" outlineLevel="0" collapsed="false">
      <c r="A12" s="7" t="s">
        <v>38</v>
      </c>
      <c r="B12" s="10" t="n">
        <v>0.0887715794426727</v>
      </c>
      <c r="C12" s="5" t="s">
        <v>39</v>
      </c>
    </row>
    <row r="13" customFormat="false" ht="15" hidden="false" customHeight="false" outlineLevel="0" collapsed="false">
      <c r="A13" s="7" t="s">
        <v>40</v>
      </c>
      <c r="B13" s="10" t="n">
        <v>0.025</v>
      </c>
      <c r="C13" s="5" t="s">
        <v>41</v>
      </c>
    </row>
    <row r="14" customFormat="false" ht="15" hidden="false" customHeight="false" outlineLevel="0" collapsed="false">
      <c r="A14" s="7" t="s">
        <v>42</v>
      </c>
      <c r="B14" s="8" t="n">
        <v>3681.1</v>
      </c>
      <c r="C14" s="5" t="s">
        <v>43</v>
      </c>
    </row>
    <row r="16" customFormat="false" ht="15" hidden="false" customHeight="false" outlineLevel="0" collapsed="false">
      <c r="A16" s="6" t="s">
        <v>44</v>
      </c>
    </row>
    <row r="17" customFormat="false" ht="15" hidden="false" customHeight="false" outlineLevel="0" collapsed="false">
      <c r="A17" s="7" t="s">
        <v>45</v>
      </c>
      <c r="B17" s="11" t="n">
        <v>0.06154887625</v>
      </c>
      <c r="C17" s="5" t="s">
        <v>46</v>
      </c>
    </row>
    <row r="18" customFormat="false" ht="15" hidden="false" customHeight="false" outlineLevel="0" collapsed="false">
      <c r="A18" s="7" t="s">
        <v>47</v>
      </c>
      <c r="B18" s="12" t="n">
        <v>0.03275</v>
      </c>
      <c r="C18" s="5" t="s">
        <v>48</v>
      </c>
    </row>
    <row r="19" customFormat="false" ht="15" hidden="false" customHeight="false" outlineLevel="0" collapsed="false">
      <c r="A19" s="7" t="s">
        <v>49</v>
      </c>
      <c r="B19" s="12" t="n">
        <v>0.0285</v>
      </c>
      <c r="C19" s="5" t="s">
        <v>50</v>
      </c>
    </row>
    <row r="20" customFormat="false" ht="15" hidden="false" customHeight="false" outlineLevel="0" collapsed="false">
      <c r="A20" s="7" t="s">
        <v>51</v>
      </c>
      <c r="B20" s="11" t="n">
        <v>0.025</v>
      </c>
      <c r="C20" s="5" t="s">
        <v>52</v>
      </c>
    </row>
    <row r="22" customFormat="false" ht="15" hidden="false" customHeight="false" outlineLevel="0" collapsed="false">
      <c r="A22" s="6" t="s">
        <v>53</v>
      </c>
    </row>
    <row r="23" customFormat="false" ht="15" hidden="false" customHeight="false" outlineLevel="0" collapsed="false">
      <c r="A23" s="7" t="s">
        <v>54</v>
      </c>
      <c r="B23" s="8" t="n">
        <v>1224.03287671233</v>
      </c>
    </row>
    <row r="24" customFormat="false" ht="15" hidden="false" customHeight="false" outlineLevel="0" collapsed="false">
      <c r="A24" s="7" t="s">
        <v>55</v>
      </c>
      <c r="B24" s="8" t="n">
        <v>151.65</v>
      </c>
    </row>
    <row r="25" customFormat="false" ht="15" hidden="false" customHeight="false" outlineLevel="0" collapsed="false">
      <c r="A25" s="7" t="s">
        <v>56</v>
      </c>
      <c r="B25" s="8" t="n">
        <v>194.3</v>
      </c>
    </row>
    <row r="26" customFormat="false" ht="15" hidden="false" customHeight="false" outlineLevel="0" collapsed="false">
      <c r="A26" s="7" t="s">
        <v>57</v>
      </c>
      <c r="B26" s="13" t="n">
        <v>1770</v>
      </c>
    </row>
    <row r="28" customFormat="false" ht="15" hidden="false" customHeight="false" outlineLevel="0" collapsed="false">
      <c r="A28" s="6" t="s">
        <v>58</v>
      </c>
    </row>
    <row r="29" customFormat="false" ht="15" hidden="false" customHeight="false" outlineLevel="0" collapsed="false">
      <c r="A29" s="4" t="s">
        <v>59</v>
      </c>
      <c r="C29" s="14" t="s">
        <v>60</v>
      </c>
      <c r="D29" s="14" t="s">
        <v>61</v>
      </c>
      <c r="E29" s="14" t="s">
        <v>62</v>
      </c>
      <c r="F29" s="14" t="s">
        <v>63</v>
      </c>
      <c r="G29" s="14" t="s">
        <v>64</v>
      </c>
      <c r="H29" s="14" t="s">
        <v>65</v>
      </c>
      <c r="I29" s="14" t="s">
        <v>66</v>
      </c>
      <c r="J29" s="14" t="s">
        <v>67</v>
      </c>
      <c r="K29" s="14" t="s">
        <v>68</v>
      </c>
      <c r="L29" s="14" t="s">
        <v>69</v>
      </c>
    </row>
    <row r="30" customFormat="false" ht="15" hidden="false" customHeight="false" outlineLevel="0" collapsed="false">
      <c r="A30" s="7" t="s">
        <v>70</v>
      </c>
      <c r="C30" s="11" t="n">
        <v>0.06154887625</v>
      </c>
      <c r="D30" s="11" t="n">
        <v>0.06154887625</v>
      </c>
      <c r="E30" s="11" t="n">
        <v>0.06154887625</v>
      </c>
      <c r="F30" s="11" t="n">
        <v>0.06154887625</v>
      </c>
      <c r="G30" s="11" t="n">
        <v>0.06154887625</v>
      </c>
      <c r="H30" s="11" t="n">
        <v>0.054239101</v>
      </c>
      <c r="I30" s="11" t="n">
        <v>0.04692932575</v>
      </c>
      <c r="J30" s="11" t="n">
        <v>0.0396195505</v>
      </c>
      <c r="K30" s="11" t="n">
        <v>0.03230977525</v>
      </c>
      <c r="L30" s="11" t="n">
        <v>0.025</v>
      </c>
      <c r="O30" s="5" t="s">
        <v>71</v>
      </c>
    </row>
    <row r="31" customFormat="false" ht="15" hidden="false" customHeight="false" outlineLevel="0" collapsed="false">
      <c r="A31" s="7" t="s">
        <v>72</v>
      </c>
      <c r="C31" s="11" t="n">
        <v>0.00525</v>
      </c>
      <c r="D31" s="11" t="n">
        <v>0.0135</v>
      </c>
      <c r="E31" s="11" t="n">
        <v>0.011</v>
      </c>
      <c r="F31" s="11" t="n">
        <v>0.00725</v>
      </c>
      <c r="G31" s="11" t="n">
        <v>0.00575</v>
      </c>
      <c r="H31" s="11" t="n">
        <v>0.005</v>
      </c>
      <c r="I31" s="11" t="n">
        <v>0.005</v>
      </c>
      <c r="J31" s="11" t="n">
        <v>0.005</v>
      </c>
      <c r="K31" s="11" t="n">
        <v>0.005</v>
      </c>
      <c r="L31" s="11" t="n">
        <v>0.005</v>
      </c>
      <c r="O31" s="5" t="s">
        <v>73</v>
      </c>
    </row>
    <row r="32" customFormat="false" ht="15" hidden="false" customHeight="false" outlineLevel="0" collapsed="false">
      <c r="A32" s="7" t="s">
        <v>74</v>
      </c>
      <c r="C32" s="10" t="n">
        <v>0.225</v>
      </c>
      <c r="D32" s="10" t="n">
        <v>0.2375</v>
      </c>
      <c r="E32" s="10" t="n">
        <v>0.25</v>
      </c>
      <c r="F32" s="10" t="n">
        <v>0.2625</v>
      </c>
      <c r="G32" s="10" t="n">
        <v>0.275</v>
      </c>
      <c r="H32" s="10" t="n">
        <v>0.275</v>
      </c>
      <c r="I32" s="10" t="n">
        <v>0.275</v>
      </c>
      <c r="J32" s="10" t="n">
        <v>0.275</v>
      </c>
      <c r="K32" s="10" t="n">
        <v>0.275</v>
      </c>
      <c r="L32" s="10" t="n">
        <v>0.275</v>
      </c>
    </row>
    <row r="33" customFormat="false" ht="15" hidden="false" customHeight="false" outlineLevel="0" collapsed="false">
      <c r="A33" s="7" t="s">
        <v>75</v>
      </c>
      <c r="C33" s="10" t="n">
        <v>0.0786</v>
      </c>
      <c r="D33" s="10" t="n">
        <v>0.0772</v>
      </c>
      <c r="E33" s="10" t="n">
        <v>0.0758</v>
      </c>
      <c r="F33" s="10" t="n">
        <v>0.0744</v>
      </c>
      <c r="G33" s="10" t="n">
        <v>0.073</v>
      </c>
      <c r="H33" s="10" t="n">
        <v>0.073</v>
      </c>
      <c r="I33" s="10" t="n">
        <v>0.073</v>
      </c>
      <c r="J33" s="10" t="n">
        <v>0.073</v>
      </c>
      <c r="K33" s="10" t="n">
        <v>0.073</v>
      </c>
      <c r="L33" s="10" t="n">
        <v>0.073</v>
      </c>
      <c r="O33" s="5"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3" min="2" style="0" width="11"/>
  </cols>
  <sheetData>
    <row r="1" customFormat="false" ht="17.35" hidden="false" customHeight="false" outlineLevel="0" collapsed="false">
      <c r="A1" s="1" t="s">
        <v>77</v>
      </c>
    </row>
    <row r="2" customFormat="false" ht="27.75" hidden="false" customHeight="true" outlineLevel="0" collapsed="false">
      <c r="A2" s="15" t="s">
        <v>8</v>
      </c>
    </row>
    <row r="4" customFormat="false" ht="15" hidden="false" customHeight="false" outlineLevel="0" collapsed="false">
      <c r="A4" s="16" t="s">
        <v>78</v>
      </c>
      <c r="B4" s="17"/>
      <c r="C4" s="18" t="s">
        <v>79</v>
      </c>
      <c r="D4" s="18" t="s">
        <v>60</v>
      </c>
      <c r="E4" s="18" t="s">
        <v>61</v>
      </c>
      <c r="F4" s="18" t="s">
        <v>62</v>
      </c>
      <c r="G4" s="18" t="s">
        <v>63</v>
      </c>
      <c r="H4" s="18" t="s">
        <v>64</v>
      </c>
      <c r="I4" s="18" t="s">
        <v>65</v>
      </c>
      <c r="J4" s="18" t="s">
        <v>66</v>
      </c>
      <c r="K4" s="18" t="s">
        <v>67</v>
      </c>
      <c r="L4" s="18" t="s">
        <v>68</v>
      </c>
      <c r="M4" s="18" t="s">
        <v>69</v>
      </c>
    </row>
    <row r="5" customFormat="false" ht="15" hidden="false" customHeight="false" outlineLevel="0" collapsed="false">
      <c r="A5" s="7" t="s">
        <v>80</v>
      </c>
      <c r="C5" s="19" t="n">
        <f aca="false">Inputs!$B$5*Inputs!$B$6</f>
        <v>1193.4</v>
      </c>
      <c r="D5" s="19" t="n">
        <f aca="false">Inputs!$B$5*(1+Inputs!C$30)</f>
        <v>3609.26617925</v>
      </c>
      <c r="E5" s="19" t="n">
        <f aca="false">D5*(1+Inputs!D$30)</f>
        <v>3831.41245666997</v>
      </c>
      <c r="F5" s="19" t="n">
        <f aca="false">E5*(1+Inputs!E$30)</f>
        <v>4067.23158782826</v>
      </c>
      <c r="G5" s="19" t="n">
        <f aca="false">F5*(1+Inputs!F$30)</f>
        <v>4317.56512150759</v>
      </c>
      <c r="H5" s="19" t="n">
        <f aca="false">G5*(1+Inputs!G$30)</f>
        <v>4583.30640287258</v>
      </c>
      <c r="I5" s="19" t="n">
        <f aca="false">H5*(1+Inputs!H$30)</f>
        <v>4831.90082177193</v>
      </c>
      <c r="J5" s="19" t="n">
        <f aca="false">I5*(1+Inputs!I$30)</f>
        <v>5058.65866942856</v>
      </c>
      <c r="K5" s="19" t="n">
        <f aca="false">J5*(1+Inputs!J$30)</f>
        <v>5259.08045204425</v>
      </c>
      <c r="L5" s="19" t="n">
        <f aca="false">K5*(1+Inputs!K$30)</f>
        <v>5429.00015947147</v>
      </c>
      <c r="M5" s="19" t="n">
        <f aca="false">L5*(1+Inputs!L$30)</f>
        <v>5564.72516345825</v>
      </c>
    </row>
    <row r="6" customFormat="false" ht="15" hidden="false" customHeight="false" outlineLevel="0" collapsed="false">
      <c r="A6" s="7" t="s">
        <v>81</v>
      </c>
      <c r="C6" s="19" t="n">
        <f aca="false">Inputs!$B$5*(1+Inputs!$C$30)^Inputs!$B$6</f>
        <v>3472.0330877427</v>
      </c>
      <c r="D6" s="19" t="n">
        <f aca="false">D5</f>
        <v>3609.26617925</v>
      </c>
      <c r="E6" s="19" t="n">
        <f aca="false">E5</f>
        <v>3831.41245666997</v>
      </c>
      <c r="F6" s="19" t="n">
        <f aca="false">F5</f>
        <v>4067.23158782826</v>
      </c>
      <c r="G6" s="19" t="n">
        <f aca="false">G5</f>
        <v>4317.56512150759</v>
      </c>
      <c r="H6" s="19" t="n">
        <f aca="false">H5</f>
        <v>4583.30640287258</v>
      </c>
      <c r="I6" s="19" t="n">
        <f aca="false">I5</f>
        <v>4831.90082177193</v>
      </c>
      <c r="J6" s="19" t="n">
        <f aca="false">J5</f>
        <v>5058.65866942856</v>
      </c>
      <c r="K6" s="19" t="n">
        <f aca="false">K5</f>
        <v>5259.08045204425</v>
      </c>
      <c r="L6" s="19" t="n">
        <f aca="false">L5</f>
        <v>5429.00015947147</v>
      </c>
      <c r="M6" s="19" t="n">
        <f aca="false">M5</f>
        <v>5564.72516345825</v>
      </c>
    </row>
    <row r="7" customFormat="false" ht="15" hidden="false" customHeight="false" outlineLevel="0" collapsed="false">
      <c r="A7" s="7" t="s">
        <v>82</v>
      </c>
      <c r="C7" s="20" t="n">
        <f aca="false">Inputs!$B$7</f>
        <v>0.141</v>
      </c>
      <c r="D7" s="20" t="n">
        <f aca="false">Inputs!$B$7+Inputs!C$31</f>
        <v>0.14625</v>
      </c>
      <c r="E7" s="20" t="n">
        <f aca="false">Inputs!$B$7+Inputs!D$31</f>
        <v>0.1545</v>
      </c>
      <c r="F7" s="20" t="n">
        <f aca="false">Inputs!$B$7+Inputs!E$31</f>
        <v>0.152</v>
      </c>
      <c r="G7" s="20" t="n">
        <f aca="false">Inputs!$B$7+Inputs!F$31</f>
        <v>0.14825</v>
      </c>
      <c r="H7" s="20" t="n">
        <f aca="false">Inputs!$B$7+Inputs!G$31</f>
        <v>0.14675</v>
      </c>
      <c r="I7" s="20" t="n">
        <f aca="false">Inputs!$B$7+Inputs!H$31</f>
        <v>0.146</v>
      </c>
      <c r="J7" s="20" t="n">
        <f aca="false">Inputs!$B$7+Inputs!I$31</f>
        <v>0.146</v>
      </c>
      <c r="K7" s="20" t="n">
        <f aca="false">Inputs!$B$7+Inputs!J$31</f>
        <v>0.146</v>
      </c>
      <c r="L7" s="20" t="n">
        <f aca="false">Inputs!$B$7+Inputs!K$31</f>
        <v>0.146</v>
      </c>
      <c r="M7" s="20" t="n">
        <f aca="false">Inputs!$B$7+Inputs!L$31</f>
        <v>0.146</v>
      </c>
    </row>
    <row r="8" customFormat="false" ht="15" hidden="false" customHeight="false" outlineLevel="0" collapsed="false">
      <c r="A8" s="7" t="s">
        <v>83</v>
      </c>
      <c r="C8" s="19" t="n">
        <f aca="false">C5*C7</f>
        <v>168.2694</v>
      </c>
      <c r="D8" s="19" t="n">
        <f aca="false">D5*D7</f>
        <v>527.855178715313</v>
      </c>
      <c r="E8" s="19" t="n">
        <f aca="false">E5*E7</f>
        <v>591.95322455551</v>
      </c>
      <c r="F8" s="19" t="n">
        <f aca="false">F5*F7</f>
        <v>618.219201349895</v>
      </c>
      <c r="G8" s="19" t="n">
        <f aca="false">G5*G7</f>
        <v>640.0790292635</v>
      </c>
      <c r="H8" s="19" t="n">
        <f aca="false">H5*H7</f>
        <v>672.600214621551</v>
      </c>
      <c r="I8" s="19" t="n">
        <f aca="false">I5*I7</f>
        <v>705.457519978702</v>
      </c>
      <c r="J8" s="19" t="n">
        <f aca="false">J5*J7</f>
        <v>738.564165736569</v>
      </c>
      <c r="K8" s="19" t="n">
        <f aca="false">K5*K7</f>
        <v>767.82574599846</v>
      </c>
      <c r="L8" s="19" t="n">
        <f aca="false">L5*L7</f>
        <v>792.634023282834</v>
      </c>
      <c r="M8" s="19" t="n">
        <f aca="false">M5*M7</f>
        <v>812.449873864905</v>
      </c>
    </row>
    <row r="9" customFormat="false" ht="15" hidden="false" customHeight="false" outlineLevel="0" collapsed="false">
      <c r="A9" s="7" t="s">
        <v>74</v>
      </c>
      <c r="C9" s="20" t="n">
        <f aca="false">Inputs!$B$11</f>
        <v>0.225</v>
      </c>
      <c r="D9" s="20" t="n">
        <f aca="false">Inputs!C$32</f>
        <v>0.225</v>
      </c>
      <c r="E9" s="20" t="n">
        <f aca="false">Inputs!D$32</f>
        <v>0.2375</v>
      </c>
      <c r="F9" s="20" t="n">
        <f aca="false">Inputs!E$32</f>
        <v>0.25</v>
      </c>
      <c r="G9" s="20" t="n">
        <f aca="false">Inputs!F$32</f>
        <v>0.2625</v>
      </c>
      <c r="H9" s="20" t="n">
        <f aca="false">Inputs!G$32</f>
        <v>0.275</v>
      </c>
      <c r="I9" s="20" t="n">
        <f aca="false">Inputs!H$32</f>
        <v>0.275</v>
      </c>
      <c r="J9" s="20" t="n">
        <f aca="false">Inputs!I$32</f>
        <v>0.275</v>
      </c>
      <c r="K9" s="20" t="n">
        <f aca="false">Inputs!J$32</f>
        <v>0.275</v>
      </c>
      <c r="L9" s="20" t="n">
        <f aca="false">Inputs!K$32</f>
        <v>0.275</v>
      </c>
      <c r="M9" s="20" t="n">
        <f aca="false">Inputs!L$32</f>
        <v>0.275</v>
      </c>
    </row>
    <row r="10" customFormat="false" ht="15" hidden="false" customHeight="false" outlineLevel="0" collapsed="false">
      <c r="A10" s="4" t="s">
        <v>84</v>
      </c>
      <c r="C10" s="21" t="n">
        <f aca="false">C8*(1-C9)</f>
        <v>130.408785</v>
      </c>
      <c r="D10" s="21" t="n">
        <f aca="false">D8*(1-D9)</f>
        <v>409.087763504367</v>
      </c>
      <c r="E10" s="21" t="n">
        <f aca="false">E8*(1-E9)</f>
        <v>451.364333723576</v>
      </c>
      <c r="F10" s="21" t="n">
        <f aca="false">F8*(1-F9)</f>
        <v>463.664401012421</v>
      </c>
      <c r="G10" s="21" t="n">
        <f aca="false">G8*(1-G9)</f>
        <v>472.058284081831</v>
      </c>
      <c r="H10" s="21" t="n">
        <f aca="false">H8*(1-H9)</f>
        <v>487.635155600624</v>
      </c>
      <c r="I10" s="21" t="n">
        <f aca="false">I8*(1-I9)</f>
        <v>511.456701984559</v>
      </c>
      <c r="J10" s="21" t="n">
        <f aca="false">J8*(1-J9)</f>
        <v>535.459020159013</v>
      </c>
      <c r="K10" s="21" t="n">
        <f aca="false">K8*(1-K9)</f>
        <v>556.673665848883</v>
      </c>
      <c r="L10" s="21" t="n">
        <f aca="false">L8*(1-L9)</f>
        <v>574.659666880055</v>
      </c>
      <c r="M10" s="21" t="n">
        <f aca="false">M8*(1-M9)</f>
        <v>589.026158552056</v>
      </c>
    </row>
    <row r="11" customFormat="false" ht="15" hidden="false" customHeight="false" outlineLevel="0" collapsed="false">
      <c r="A11" s="7" t="s">
        <v>85</v>
      </c>
      <c r="C11" s="19" t="n">
        <f aca="false">C5*Inputs!$B$8</f>
        <v>87.1182</v>
      </c>
      <c r="D11" s="19" t="n">
        <f aca="false">D5*Inputs!$B$8</f>
        <v>263.47643108525</v>
      </c>
      <c r="E11" s="19" t="n">
        <f aca="false">E5*Inputs!$B$8</f>
        <v>279.693109336908</v>
      </c>
      <c r="F11" s="19" t="n">
        <f aca="false">F5*Inputs!$B$8</f>
        <v>296.907905911463</v>
      </c>
      <c r="G11" s="19" t="n">
        <f aca="false">G5*Inputs!$B$8</f>
        <v>315.182253870054</v>
      </c>
      <c r="H11" s="19" t="n">
        <f aca="false">H5*Inputs!$B$8</f>
        <v>334.581367409698</v>
      </c>
      <c r="I11" s="19" t="n">
        <f aca="false">I5*Inputs!$B$8</f>
        <v>352.728759989351</v>
      </c>
      <c r="J11" s="19" t="n">
        <f aca="false">J5*Inputs!$B$8</f>
        <v>369.282082868285</v>
      </c>
      <c r="K11" s="19" t="n">
        <f aca="false">K5*Inputs!$B$8</f>
        <v>383.91287299923</v>
      </c>
      <c r="L11" s="19" t="n">
        <f aca="false">L5*Inputs!$B$8</f>
        <v>396.317011641417</v>
      </c>
      <c r="M11" s="19" t="n">
        <f aca="false">M5*Inputs!$B$8</f>
        <v>406.224936932452</v>
      </c>
    </row>
    <row r="13" customFormat="false" ht="15" hidden="false" customHeight="false" outlineLevel="0" collapsed="false">
      <c r="A13" s="22" t="s">
        <v>86</v>
      </c>
      <c r="B13" s="23"/>
      <c r="C13" s="23"/>
      <c r="D13" s="23"/>
      <c r="E13" s="23"/>
      <c r="F13" s="23"/>
      <c r="G13" s="23"/>
      <c r="H13" s="23"/>
      <c r="I13" s="23"/>
      <c r="J13" s="23"/>
      <c r="K13" s="23"/>
      <c r="L13" s="23"/>
      <c r="M13" s="23"/>
    </row>
    <row r="14" customFormat="false" ht="15" hidden="false" customHeight="false" outlineLevel="0" collapsed="false">
      <c r="A14" s="24" t="s">
        <v>87</v>
      </c>
      <c r="C14" s="25" t="n">
        <f aca="false">Inputs!$B$9</f>
        <v>0.08</v>
      </c>
      <c r="D14" s="25" t="n">
        <f aca="false">Inputs!C$33</f>
        <v>0.0786</v>
      </c>
      <c r="E14" s="25" t="n">
        <f aca="false">Inputs!D$33</f>
        <v>0.0772</v>
      </c>
      <c r="F14" s="25" t="n">
        <f aca="false">Inputs!E$33</f>
        <v>0.0758</v>
      </c>
      <c r="G14" s="25" t="n">
        <f aca="false">Inputs!F$33</f>
        <v>0.0744</v>
      </c>
      <c r="H14" s="25" t="n">
        <f aca="false">Inputs!G$33</f>
        <v>0.073</v>
      </c>
      <c r="I14" s="25" t="n">
        <f aca="false">Inputs!H$33</f>
        <v>0.073</v>
      </c>
      <c r="J14" s="25" t="n">
        <f aca="false">Inputs!I$33</f>
        <v>0.073</v>
      </c>
      <c r="K14" s="25" t="n">
        <f aca="false">Inputs!J$33</f>
        <v>0.073</v>
      </c>
      <c r="L14" s="25" t="n">
        <f aca="false">Inputs!K$33</f>
        <v>0.073</v>
      </c>
      <c r="M14" s="25" t="n">
        <f aca="false">Inputs!L$33</f>
        <v>0.073</v>
      </c>
    </row>
    <row r="15" customFormat="false" ht="15" hidden="false" customHeight="false" outlineLevel="0" collapsed="false">
      <c r="A15" s="7" t="s">
        <v>88</v>
      </c>
      <c r="C15" s="20" t="n">
        <f aca="false">C14-Inputs!$B$8</f>
        <v>0.00700000000000001</v>
      </c>
      <c r="D15" s="20" t="n">
        <f aca="false">D14-Inputs!$B$8</f>
        <v>0.00560000000000001</v>
      </c>
      <c r="E15" s="20" t="n">
        <f aca="false">E14-Inputs!$B$8</f>
        <v>0.00420000000000001</v>
      </c>
      <c r="F15" s="20" t="n">
        <f aca="false">F14-Inputs!$B$8</f>
        <v>0.0028</v>
      </c>
      <c r="G15" s="20" t="n">
        <f aca="false">G14-Inputs!$B$8</f>
        <v>0.0014</v>
      </c>
      <c r="H15" s="20" t="n">
        <f aca="false">H14-Inputs!$B$8</f>
        <v>0</v>
      </c>
      <c r="I15" s="20" t="n">
        <f aca="false">I14-Inputs!$B$8</f>
        <v>0</v>
      </c>
      <c r="J15" s="20" t="n">
        <f aca="false">J14-Inputs!$B$8</f>
        <v>0</v>
      </c>
      <c r="K15" s="20" t="n">
        <f aca="false">K14-Inputs!$B$8</f>
        <v>0</v>
      </c>
      <c r="L15" s="20" t="n">
        <f aca="false">L14-Inputs!$B$8</f>
        <v>0</v>
      </c>
      <c r="M15" s="20" t="n">
        <f aca="false">M14-Inputs!$B$8</f>
        <v>0</v>
      </c>
      <c r="O15" s="5" t="s">
        <v>89</v>
      </c>
    </row>
    <row r="16" customFormat="false" ht="15" hidden="false" customHeight="false" outlineLevel="0" collapsed="false">
      <c r="A16" s="7" t="s">
        <v>90</v>
      </c>
      <c r="C16" s="19" t="n">
        <f aca="false">C5*C14</f>
        <v>95.472</v>
      </c>
      <c r="D16" s="19" t="n">
        <f aca="false">D5*D14</f>
        <v>283.68832168905</v>
      </c>
      <c r="E16" s="19" t="n">
        <f aca="false">E5*E14</f>
        <v>295.785041654922</v>
      </c>
      <c r="F16" s="19" t="n">
        <f aca="false">F5*F14</f>
        <v>308.296154357382</v>
      </c>
      <c r="G16" s="19" t="n">
        <f aca="false">G5*G14</f>
        <v>321.226845040165</v>
      </c>
      <c r="H16" s="19" t="n">
        <f aca="false">H5*H14</f>
        <v>334.581367409698</v>
      </c>
      <c r="I16" s="19" t="n">
        <f aca="false">I5*I14</f>
        <v>352.728759989351</v>
      </c>
      <c r="J16" s="19" t="n">
        <f aca="false">J5*J14</f>
        <v>369.282082868285</v>
      </c>
      <c r="K16" s="19" t="n">
        <f aca="false">K5*K14</f>
        <v>383.91287299923</v>
      </c>
      <c r="L16" s="19" t="n">
        <f aca="false">L5*L14</f>
        <v>396.317011641417</v>
      </c>
      <c r="M16" s="19" t="n">
        <f aca="false">M5*M14</f>
        <v>406.224936932452</v>
      </c>
    </row>
    <row r="18" customFormat="false" ht="15" hidden="false" customHeight="false" outlineLevel="0" collapsed="false">
      <c r="A18" s="7" t="s">
        <v>91</v>
      </c>
      <c r="C18" s="19" t="n">
        <f aca="false">Inputs!$B$10*(C6-Inputs!$B$5)</f>
        <v>9.91175287339496</v>
      </c>
      <c r="D18" s="19" t="n">
        <f aca="false">Inputs!$B$10*(D5-C6)</f>
        <v>18.8832733914051</v>
      </c>
      <c r="E18" s="19" t="n">
        <f aca="false">Inputs!$B$10*(E5-D5)</f>
        <v>30.5673277729877</v>
      </c>
      <c r="F18" s="19" t="n">
        <f aca="false">Inputs!$B$10*(F5-E5)</f>
        <v>32.4487124473805</v>
      </c>
      <c r="G18" s="19" t="n">
        <f aca="false">Inputs!$B$10*(G5-F5)</f>
        <v>34.4458942342762</v>
      </c>
      <c r="H18" s="19" t="n">
        <f aca="false">Inputs!$B$10*(H5-G5)</f>
        <v>36.5660003158222</v>
      </c>
      <c r="I18" s="19" t="n">
        <f aca="false">Inputs!$B$10*(I5-H5)</f>
        <v>34.2065920405509</v>
      </c>
      <c r="J18" s="19" t="n">
        <f aca="false">Inputs!$B$10*(J5-I5)</f>
        <v>31.201879837552</v>
      </c>
      <c r="K18" s="19" t="n">
        <f aca="false">Inputs!$B$10*(K5-J5)</f>
        <v>27.5780372879187</v>
      </c>
      <c r="L18" s="19" t="n">
        <f aca="false">Inputs!$B$10*(L5-K5)</f>
        <v>23.3809517419853</v>
      </c>
      <c r="M18" s="19" t="n">
        <f aca="false">Inputs!$B$10*(M5-L5)</f>
        <v>18.6757605485817</v>
      </c>
    </row>
    <row r="19" customFormat="false" ht="15" hidden="false" customHeight="false" outlineLevel="0" collapsed="false">
      <c r="A19" s="16" t="s">
        <v>92</v>
      </c>
      <c r="B19" s="17"/>
      <c r="C19" s="26" t="n">
        <f aca="false">C10+C11-C16-C18</f>
        <v>112.143232126605</v>
      </c>
      <c r="D19" s="26" t="n">
        <f aca="false">D10+D11-D16-D18</f>
        <v>369.992599509162</v>
      </c>
      <c r="E19" s="26" t="n">
        <f aca="false">E10+E11-E16-E18</f>
        <v>404.705073632575</v>
      </c>
      <c r="F19" s="26" t="n">
        <f aca="false">F10+F11-F16-F18</f>
        <v>419.827440119122</v>
      </c>
      <c r="G19" s="26" t="n">
        <f aca="false">G10+G11-G16-G18</f>
        <v>431.567798677445</v>
      </c>
      <c r="H19" s="26" t="n">
        <f aca="false">H10+H11-H16-H18</f>
        <v>451.069155284802</v>
      </c>
      <c r="I19" s="26" t="n">
        <f aca="false">I10+I11-I16-I18</f>
        <v>477.250109944008</v>
      </c>
      <c r="J19" s="26" t="n">
        <f aca="false">J10+J11-J16-J18</f>
        <v>504.257140321461</v>
      </c>
      <c r="K19" s="26" t="n">
        <f aca="false">K10+K11-K16-K18</f>
        <v>529.095628560965</v>
      </c>
      <c r="L19" s="26" t="n">
        <f aca="false">L10+L11-L16-L18</f>
        <v>551.278715138069</v>
      </c>
      <c r="M19" s="26" t="n">
        <f aca="false">M10+M11-M16-M18</f>
        <v>570.350398003474</v>
      </c>
    </row>
    <row r="20" customFormat="false" ht="15" hidden="false" customHeight="false" outlineLevel="0" collapsed="false">
      <c r="A20" s="7" t="s">
        <v>93</v>
      </c>
      <c r="C20" s="27" t="n">
        <f aca="false">Inputs!$B$6/2</f>
        <v>0.1755</v>
      </c>
      <c r="D20" s="27" t="n">
        <f aca="false">Inputs!$B$6+1-0.5</f>
        <v>0.851</v>
      </c>
      <c r="E20" s="27" t="n">
        <f aca="false">Inputs!$B$6+2-0.5</f>
        <v>1.851</v>
      </c>
      <c r="F20" s="27" t="n">
        <f aca="false">Inputs!$B$6+3-0.5</f>
        <v>2.851</v>
      </c>
      <c r="G20" s="27" t="n">
        <f aca="false">Inputs!$B$6+4-0.5</f>
        <v>3.851</v>
      </c>
      <c r="H20" s="27" t="n">
        <f aca="false">Inputs!$B$6+5-0.5</f>
        <v>4.851</v>
      </c>
      <c r="I20" s="27" t="n">
        <f aca="false">Inputs!$B$6+6-0.5</f>
        <v>5.851</v>
      </c>
      <c r="J20" s="27" t="n">
        <f aca="false">Inputs!$B$6+7-0.5</f>
        <v>6.851</v>
      </c>
      <c r="K20" s="27" t="n">
        <f aca="false">Inputs!$B$6+8-0.5</f>
        <v>7.851</v>
      </c>
      <c r="L20" s="27" t="n">
        <f aca="false">Inputs!$B$6+9-0.5</f>
        <v>8.851</v>
      </c>
      <c r="M20" s="27" t="n">
        <f aca="false">Inputs!$B$6+10-0.5</f>
        <v>9.851</v>
      </c>
    </row>
    <row r="21" customFormat="false" ht="15" hidden="false" customHeight="false" outlineLevel="0" collapsed="false">
      <c r="A21" s="7" t="s">
        <v>94</v>
      </c>
      <c r="C21" s="19" t="n">
        <f aca="false">C19/(1+Inputs!$B$12)^C20</f>
        <v>110.48178053763</v>
      </c>
      <c r="D21" s="19" t="n">
        <f aca="false">D19/(1+Inputs!$B$12)^D20</f>
        <v>344.159562764562</v>
      </c>
      <c r="E21" s="19" t="n">
        <f aca="false">E19/(1+Inputs!$B$12)^E20</f>
        <v>345.755165414116</v>
      </c>
      <c r="F21" s="19" t="n">
        <f aca="false">F19/(1+Inputs!$B$12)^F20</f>
        <v>329.430702983517</v>
      </c>
      <c r="G21" s="19" t="n">
        <f aca="false">G19/(1+Inputs!$B$12)^G20</f>
        <v>311.032312118303</v>
      </c>
      <c r="H21" s="19" t="n">
        <f aca="false">H19/(1+Inputs!$B$12)^H20</f>
        <v>298.581455658687</v>
      </c>
      <c r="I21" s="19" t="n">
        <f aca="false">I19/(1+Inputs!$B$12)^I20</f>
        <v>290.154267106327</v>
      </c>
      <c r="J21" s="19" t="n">
        <f aca="false">J19/(1+Inputs!$B$12)^J20</f>
        <v>281.577666475721</v>
      </c>
      <c r="K21" s="19" t="n">
        <f aca="false">K19/(1+Inputs!$B$12)^K20</f>
        <v>271.358572814742</v>
      </c>
      <c r="L21" s="19" t="n">
        <f aca="false">L19/(1+Inputs!$B$12)^L20</f>
        <v>259.683180731221</v>
      </c>
      <c r="M21" s="19" t="n">
        <f aca="false">M19/(1+Inputs!$B$12)^M20</f>
        <v>246.761595943731</v>
      </c>
    </row>
    <row r="23" customFormat="false" ht="15" hidden="false" customHeight="false" outlineLevel="0" collapsed="false">
      <c r="A23" s="6" t="s">
        <v>95</v>
      </c>
    </row>
    <row r="24" customFormat="false" ht="15" hidden="false" customHeight="false" outlineLevel="0" collapsed="false">
      <c r="A24" s="7" t="s">
        <v>96</v>
      </c>
      <c r="B24" s="28" t="n">
        <f aca="false">Inputs!$B$14</f>
        <v>3681.1</v>
      </c>
      <c r="C24" s="19" t="n">
        <f aca="false">$B$24+C16-C11+C18</f>
        <v>3699.3655528734</v>
      </c>
      <c r="D24" s="19" t="n">
        <f aca="false">C24+D16-D11+D18</f>
        <v>3738.4607168686</v>
      </c>
      <c r="E24" s="19" t="n">
        <f aca="false">D24+E16-E11+E18</f>
        <v>3785.1199769596</v>
      </c>
      <c r="F24" s="19" t="n">
        <f aca="false">E24+F16-F11+F18</f>
        <v>3828.9569378529</v>
      </c>
      <c r="G24" s="19" t="n">
        <f aca="false">F24+G16-G11+G18</f>
        <v>3869.44742325729</v>
      </c>
      <c r="H24" s="19" t="n">
        <f aca="false">G24+H16-H11+H18</f>
        <v>3906.01342357311</v>
      </c>
      <c r="I24" s="19" t="n">
        <f aca="false">H24+I16-I11+I18</f>
        <v>3940.22001561366</v>
      </c>
      <c r="J24" s="19" t="n">
        <f aca="false">I24+J16-J11+J18</f>
        <v>3971.42189545121</v>
      </c>
      <c r="K24" s="19" t="n">
        <f aca="false">J24+K16-K11+K18</f>
        <v>3998.99993273913</v>
      </c>
      <c r="L24" s="19" t="n">
        <f aca="false">K24+L16-L11+L18</f>
        <v>4022.38088448112</v>
      </c>
      <c r="M24" s="19" t="n">
        <f aca="false">L24+M16-M11+M18</f>
        <v>4041.0566450297</v>
      </c>
    </row>
    <row r="25" customFormat="false" ht="15" hidden="false" customHeight="false" outlineLevel="0" collapsed="false">
      <c r="A25" s="7" t="s">
        <v>97</v>
      </c>
      <c r="B25" s="29" t="n">
        <f aca="false">$B$24/Inputs!$B$5</f>
        <v>1.08267647058824</v>
      </c>
      <c r="D25" s="29" t="n">
        <f aca="false">D24/D5</f>
        <v>1.0357952368161</v>
      </c>
      <c r="E25" s="29" t="n">
        <f aca="false">E24/E5</f>
        <v>0.987917646498805</v>
      </c>
      <c r="F25" s="29" t="n">
        <f aca="false">F24/F5</f>
        <v>0.941416011154018</v>
      </c>
      <c r="G25" s="29" t="n">
        <f aca="false">G24/G5</f>
        <v>0.896210552559349</v>
      </c>
      <c r="H25" s="29" t="n">
        <f aca="false">H24/H5</f>
        <v>0.852226118054212</v>
      </c>
      <c r="I25" s="29" t="n">
        <f aca="false">I24/I5</f>
        <v>0.815459621575744</v>
      </c>
      <c r="J25" s="29" t="n">
        <f aca="false">J24/J5</f>
        <v>0.785074098683918</v>
      </c>
      <c r="K25" s="29" t="n">
        <f aca="false">K24/K5</f>
        <v>0.76039907911747</v>
      </c>
      <c r="L25" s="29" t="n">
        <f aca="false">L24/L5</f>
        <v>0.740906385398359</v>
      </c>
      <c r="M25" s="29" t="n">
        <f aca="false">M24/M5</f>
        <v>0.726191595510594</v>
      </c>
      <c r="O25" s="5" t="s">
        <v>98</v>
      </c>
    </row>
    <row r="27" customFormat="false" ht="15" hidden="false" customHeight="false" outlineLevel="0" collapsed="false">
      <c r="A27" s="6" t="s">
        <v>99</v>
      </c>
    </row>
    <row r="28" customFormat="false" ht="15" hidden="false" customHeight="false" outlineLevel="0" collapsed="false">
      <c r="A28" s="7" t="s">
        <v>100</v>
      </c>
      <c r="B28" s="19" t="n">
        <f aca="false">M5*(1+Inputs!$B$13)</f>
        <v>5703.84329254471</v>
      </c>
    </row>
    <row r="29" customFormat="false" ht="15" hidden="false" customHeight="false" outlineLevel="0" collapsed="false">
      <c r="A29" s="7" t="s">
        <v>101</v>
      </c>
      <c r="B29" s="19" t="n">
        <f aca="false">M24-Inputs!$B$10*M5</f>
        <v>3275.35046253785</v>
      </c>
    </row>
    <row r="30" customFormat="false" ht="15" hidden="false" customHeight="false" outlineLevel="0" collapsed="false">
      <c r="A30" s="7" t="s">
        <v>102</v>
      </c>
      <c r="B30" s="30" t="n">
        <f aca="false">Inputs!$B$8+Inputs!$B$13*$B$29/M5</f>
        <v>0.0877147898877649</v>
      </c>
      <c r="C30" s="5" t="s">
        <v>103</v>
      </c>
    </row>
    <row r="31" customFormat="false" ht="15" hidden="false" customHeight="false" outlineLevel="0" collapsed="false">
      <c r="A31" s="7" t="s">
        <v>104</v>
      </c>
      <c r="B31" s="19" t="n">
        <f aca="false">$B$28*(M7*(1-M9)+Inputs!$B$8-$B$30-Inputs!$B$13*Inputs!$B$10)</f>
        <v>500.199735986971</v>
      </c>
    </row>
    <row r="32" customFormat="false" ht="15" hidden="false" customHeight="false" outlineLevel="0" collapsed="false">
      <c r="A32" s="7" t="s">
        <v>105</v>
      </c>
      <c r="B32" s="19" t="n">
        <f aca="false">$B$31/(Inputs!$B$12-Inputs!$B$13)</f>
        <v>7843.61529631903</v>
      </c>
    </row>
    <row r="33" customFormat="false" ht="15" hidden="false" customHeight="false" outlineLevel="0" collapsed="false">
      <c r="A33" s="7" t="s">
        <v>106</v>
      </c>
      <c r="B33" s="19" t="n">
        <f aca="false">$B$32/(1+Inputs!$B$12)^(Inputs!$B$6+10)</f>
        <v>3252.24847222376</v>
      </c>
    </row>
    <row r="34" customFormat="false" ht="15" hidden="false" customHeight="false" outlineLevel="0" collapsed="false">
      <c r="A34" s="7" t="s">
        <v>107</v>
      </c>
      <c r="B34" s="19" t="n">
        <f aca="false">$B$28*M7*(1-M9)</f>
        <v>603.751812515857</v>
      </c>
    </row>
    <row r="35" customFormat="false" ht="15" hidden="false" customHeight="false" outlineLevel="0" collapsed="false">
      <c r="A35" s="4" t="s">
        <v>108</v>
      </c>
      <c r="B35" s="31" t="n">
        <f aca="false">$B$34/M24</f>
        <v>0.149404441845289</v>
      </c>
    </row>
    <row r="36" customFormat="false" ht="15" hidden="false" customHeight="false" outlineLevel="0" collapsed="false">
      <c r="A36" s="4" t="s">
        <v>109</v>
      </c>
      <c r="B36" s="32" t="n">
        <f aca="false">$B$35/Inputs!$B$12</f>
        <v>1.68302110634149</v>
      </c>
      <c r="C36" s="5" t="s">
        <v>110</v>
      </c>
    </row>
    <row r="38" customFormat="false" ht="15" hidden="false" customHeight="false" outlineLevel="0" collapsed="false">
      <c r="A38" s="6" t="s">
        <v>111</v>
      </c>
    </row>
    <row r="39" customFormat="false" ht="15" hidden="false" customHeight="false" outlineLevel="0" collapsed="false">
      <c r="A39" s="7" t="s">
        <v>112</v>
      </c>
      <c r="B39" s="19" t="n">
        <f aca="false">SUM(C21:M21)</f>
        <v>3088.97626254856</v>
      </c>
    </row>
    <row r="40" customFormat="false" ht="15" hidden="false" customHeight="false" outlineLevel="0" collapsed="false">
      <c r="A40" s="7" t="s">
        <v>113</v>
      </c>
      <c r="B40" s="19" t="n">
        <f aca="false">$B$39+$B$33</f>
        <v>6341.22473477232</v>
      </c>
    </row>
    <row r="41" customFormat="false" ht="15" hidden="false" customHeight="false" outlineLevel="0" collapsed="false">
      <c r="A41" s="7" t="s">
        <v>114</v>
      </c>
      <c r="B41" s="29" t="n">
        <f aca="false">$B$33/$B$40</f>
        <v>0.512873870309303</v>
      </c>
      <c r="C41" s="5" t="s">
        <v>115</v>
      </c>
    </row>
    <row r="42" customFormat="false" ht="15" hidden="false" customHeight="false" outlineLevel="0" collapsed="false">
      <c r="A42" s="7" t="s">
        <v>116</v>
      </c>
      <c r="B42" s="19" t="n">
        <f aca="false">-Inputs!$B$23</f>
        <v>-1224.03287671233</v>
      </c>
    </row>
    <row r="43" customFormat="false" ht="15" hidden="false" customHeight="false" outlineLevel="0" collapsed="false">
      <c r="A43" s="7" t="s">
        <v>117</v>
      </c>
      <c r="B43" s="19" t="n">
        <f aca="false">-Inputs!$B$24</f>
        <v>-151.65</v>
      </c>
    </row>
    <row r="44" customFormat="false" ht="15" hidden="false" customHeight="false" outlineLevel="0" collapsed="false">
      <c r="A44" s="7" t="s">
        <v>118</v>
      </c>
      <c r="B44" s="19" t="n">
        <f aca="false">-Inputs!$B$25</f>
        <v>-194.3</v>
      </c>
    </row>
    <row r="45" customFormat="false" ht="15" hidden="false" customHeight="false" outlineLevel="0" collapsed="false">
      <c r="A45" s="4" t="s">
        <v>119</v>
      </c>
      <c r="B45" s="21" t="n">
        <f aca="false">$B$40+SUM($B$42:$B$44)</f>
        <v>4771.24185805999</v>
      </c>
    </row>
    <row r="46" customFormat="false" ht="15" hidden="false" customHeight="false" outlineLevel="0" collapsed="false">
      <c r="A46" s="6" t="s">
        <v>120</v>
      </c>
      <c r="B46" s="33" t="n">
        <f aca="false">$B$45/Inputs!$B$26</f>
        <v>2.69561686896045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3" min="2" style="0" width="11"/>
  </cols>
  <sheetData>
    <row r="1" customFormat="false" ht="17.35" hidden="false" customHeight="false" outlineLevel="0" collapsed="false">
      <c r="A1" s="1" t="s">
        <v>121</v>
      </c>
    </row>
    <row r="2" customFormat="false" ht="27.75" hidden="false" customHeight="true" outlineLevel="0" collapsed="false">
      <c r="A2" s="15" t="s">
        <v>10</v>
      </c>
    </row>
    <row r="4" customFormat="false" ht="15" hidden="false" customHeight="false" outlineLevel="0" collapsed="false">
      <c r="A4" s="16" t="s">
        <v>78</v>
      </c>
      <c r="B4" s="17"/>
      <c r="C4" s="18" t="s">
        <v>79</v>
      </c>
      <c r="D4" s="18" t="s">
        <v>60</v>
      </c>
      <c r="E4" s="18" t="s">
        <v>61</v>
      </c>
      <c r="F4" s="18" t="s">
        <v>62</v>
      </c>
      <c r="G4" s="18" t="s">
        <v>63</v>
      </c>
      <c r="H4" s="18" t="s">
        <v>64</v>
      </c>
      <c r="I4" s="18" t="s">
        <v>65</v>
      </c>
      <c r="J4" s="18" t="s">
        <v>66</v>
      </c>
      <c r="K4" s="18" t="s">
        <v>67</v>
      </c>
      <c r="L4" s="18" t="s">
        <v>68</v>
      </c>
      <c r="M4" s="18" t="s">
        <v>69</v>
      </c>
    </row>
    <row r="5" customFormat="false" ht="15" hidden="false" customHeight="false" outlineLevel="0" collapsed="false">
      <c r="A5" s="7" t="s">
        <v>80</v>
      </c>
      <c r="C5" s="19" t="n">
        <f aca="false">Inputs!$B$5*Inputs!$B$6</f>
        <v>1193.4</v>
      </c>
      <c r="D5" s="19" t="n">
        <f aca="false">Inputs!$B$5*(1+Inputs!C$30)</f>
        <v>3609.26617925</v>
      </c>
      <c r="E5" s="19" t="n">
        <f aca="false">D5*(1+Inputs!D$30)</f>
        <v>3831.41245666997</v>
      </c>
      <c r="F5" s="19" t="n">
        <f aca="false">E5*(1+Inputs!E$30)</f>
        <v>4067.23158782826</v>
      </c>
      <c r="G5" s="19" t="n">
        <f aca="false">F5*(1+Inputs!F$30)</f>
        <v>4317.56512150759</v>
      </c>
      <c r="H5" s="19" t="n">
        <f aca="false">G5*(1+Inputs!G$30)</f>
        <v>4583.30640287258</v>
      </c>
      <c r="I5" s="19" t="n">
        <f aca="false">H5*(1+Inputs!H$30)</f>
        <v>4831.90082177193</v>
      </c>
      <c r="J5" s="19" t="n">
        <f aca="false">I5*(1+Inputs!I$30)</f>
        <v>5058.65866942856</v>
      </c>
      <c r="K5" s="19" t="n">
        <f aca="false">J5*(1+Inputs!J$30)</f>
        <v>5259.08045204425</v>
      </c>
      <c r="L5" s="19" t="n">
        <f aca="false">K5*(1+Inputs!K$30)</f>
        <v>5429.00015947147</v>
      </c>
      <c r="M5" s="19" t="n">
        <f aca="false">L5*(1+Inputs!L$30)</f>
        <v>5564.72516345825</v>
      </c>
    </row>
    <row r="6" customFormat="false" ht="15" hidden="false" customHeight="false" outlineLevel="0" collapsed="false">
      <c r="A6" s="7" t="s">
        <v>81</v>
      </c>
      <c r="C6" s="19" t="n">
        <f aca="false">Inputs!$B$5*(1+Inputs!$C$30)^Inputs!$B$6</f>
        <v>3472.0330877427</v>
      </c>
      <c r="D6" s="19" t="n">
        <f aca="false">D5</f>
        <v>3609.26617925</v>
      </c>
      <c r="E6" s="19" t="n">
        <f aca="false">E5</f>
        <v>3831.41245666997</v>
      </c>
      <c r="F6" s="19" t="n">
        <f aca="false">F5</f>
        <v>4067.23158782826</v>
      </c>
      <c r="G6" s="19" t="n">
        <f aca="false">G5</f>
        <v>4317.56512150759</v>
      </c>
      <c r="H6" s="19" t="n">
        <f aca="false">H5</f>
        <v>4583.30640287258</v>
      </c>
      <c r="I6" s="19" t="n">
        <f aca="false">I5</f>
        <v>4831.90082177193</v>
      </c>
      <c r="J6" s="19" t="n">
        <f aca="false">J5</f>
        <v>5058.65866942856</v>
      </c>
      <c r="K6" s="19" t="n">
        <f aca="false">K5</f>
        <v>5259.08045204425</v>
      </c>
      <c r="L6" s="19" t="n">
        <f aca="false">L5</f>
        <v>5429.00015947147</v>
      </c>
      <c r="M6" s="19" t="n">
        <f aca="false">M5</f>
        <v>5564.72516345825</v>
      </c>
    </row>
    <row r="7" customFormat="false" ht="15" hidden="false" customHeight="false" outlineLevel="0" collapsed="false">
      <c r="A7" s="7" t="s">
        <v>82</v>
      </c>
      <c r="C7" s="20" t="n">
        <f aca="false">Inputs!$B$7</f>
        <v>0.141</v>
      </c>
      <c r="D7" s="20" t="n">
        <f aca="false">Inputs!$B$7+Inputs!C$31</f>
        <v>0.14625</v>
      </c>
      <c r="E7" s="20" t="n">
        <f aca="false">Inputs!$B$7+Inputs!D$31</f>
        <v>0.1545</v>
      </c>
      <c r="F7" s="20" t="n">
        <f aca="false">Inputs!$B$7+Inputs!E$31</f>
        <v>0.152</v>
      </c>
      <c r="G7" s="20" t="n">
        <f aca="false">Inputs!$B$7+Inputs!F$31</f>
        <v>0.14825</v>
      </c>
      <c r="H7" s="20" t="n">
        <f aca="false">Inputs!$B$7+Inputs!G$31</f>
        <v>0.14675</v>
      </c>
      <c r="I7" s="20" t="n">
        <f aca="false">Inputs!$B$7+Inputs!H$31</f>
        <v>0.146</v>
      </c>
      <c r="J7" s="20" t="n">
        <f aca="false">Inputs!$B$7+Inputs!I$31</f>
        <v>0.146</v>
      </c>
      <c r="K7" s="20" t="n">
        <f aca="false">Inputs!$B$7+Inputs!J$31</f>
        <v>0.146</v>
      </c>
      <c r="L7" s="20" t="n">
        <f aca="false">Inputs!$B$7+Inputs!K$31</f>
        <v>0.146</v>
      </c>
      <c r="M7" s="20" t="n">
        <f aca="false">Inputs!$B$7+Inputs!L$31</f>
        <v>0.146</v>
      </c>
    </row>
    <row r="8" customFormat="false" ht="15" hidden="false" customHeight="false" outlineLevel="0" collapsed="false">
      <c r="A8" s="7" t="s">
        <v>83</v>
      </c>
      <c r="C8" s="19" t="n">
        <f aca="false">C5*C7</f>
        <v>168.2694</v>
      </c>
      <c r="D8" s="19" t="n">
        <f aca="false">D5*D7</f>
        <v>527.855178715313</v>
      </c>
      <c r="E8" s="19" t="n">
        <f aca="false">E5*E7</f>
        <v>591.95322455551</v>
      </c>
      <c r="F8" s="19" t="n">
        <f aca="false">F5*F7</f>
        <v>618.219201349895</v>
      </c>
      <c r="G8" s="19" t="n">
        <f aca="false">G5*G7</f>
        <v>640.0790292635</v>
      </c>
      <c r="H8" s="19" t="n">
        <f aca="false">H5*H7</f>
        <v>672.600214621551</v>
      </c>
      <c r="I8" s="19" t="n">
        <f aca="false">I5*I7</f>
        <v>705.457519978702</v>
      </c>
      <c r="J8" s="19" t="n">
        <f aca="false">J5*J7</f>
        <v>738.564165736569</v>
      </c>
      <c r="K8" s="19" t="n">
        <f aca="false">K5*K7</f>
        <v>767.82574599846</v>
      </c>
      <c r="L8" s="19" t="n">
        <f aca="false">L5*L7</f>
        <v>792.634023282834</v>
      </c>
      <c r="M8" s="19" t="n">
        <f aca="false">M5*M7</f>
        <v>812.449873864905</v>
      </c>
    </row>
    <row r="9" customFormat="false" ht="15" hidden="false" customHeight="false" outlineLevel="0" collapsed="false">
      <c r="A9" s="7" t="s">
        <v>74</v>
      </c>
      <c r="C9" s="20" t="n">
        <f aca="false">Inputs!$B$11</f>
        <v>0.225</v>
      </c>
      <c r="D9" s="20" t="n">
        <f aca="false">Inputs!C$32</f>
        <v>0.225</v>
      </c>
      <c r="E9" s="20" t="n">
        <f aca="false">Inputs!D$32</f>
        <v>0.2375</v>
      </c>
      <c r="F9" s="20" t="n">
        <f aca="false">Inputs!E$32</f>
        <v>0.25</v>
      </c>
      <c r="G9" s="20" t="n">
        <f aca="false">Inputs!F$32</f>
        <v>0.2625</v>
      </c>
      <c r="H9" s="20" t="n">
        <f aca="false">Inputs!G$32</f>
        <v>0.275</v>
      </c>
      <c r="I9" s="20" t="n">
        <f aca="false">Inputs!H$32</f>
        <v>0.275</v>
      </c>
      <c r="J9" s="20" t="n">
        <f aca="false">Inputs!I$32</f>
        <v>0.275</v>
      </c>
      <c r="K9" s="20" t="n">
        <f aca="false">Inputs!J$32</f>
        <v>0.275</v>
      </c>
      <c r="L9" s="20" t="n">
        <f aca="false">Inputs!K$32</f>
        <v>0.275</v>
      </c>
      <c r="M9" s="20" t="n">
        <f aca="false">Inputs!L$32</f>
        <v>0.275</v>
      </c>
    </row>
    <row r="10" customFormat="false" ht="15" hidden="false" customHeight="false" outlineLevel="0" collapsed="false">
      <c r="A10" s="4" t="s">
        <v>84</v>
      </c>
      <c r="C10" s="21" t="n">
        <f aca="false">C8*(1-C9)</f>
        <v>130.408785</v>
      </c>
      <c r="D10" s="21" t="n">
        <f aca="false">D8*(1-D9)</f>
        <v>409.087763504367</v>
      </c>
      <c r="E10" s="21" t="n">
        <f aca="false">E8*(1-E9)</f>
        <v>451.364333723576</v>
      </c>
      <c r="F10" s="21" t="n">
        <f aca="false">F8*(1-F9)</f>
        <v>463.664401012421</v>
      </c>
      <c r="G10" s="21" t="n">
        <f aca="false">G8*(1-G9)</f>
        <v>472.058284081831</v>
      </c>
      <c r="H10" s="21" t="n">
        <f aca="false">H8*(1-H9)</f>
        <v>487.635155600624</v>
      </c>
      <c r="I10" s="21" t="n">
        <f aca="false">I8*(1-I9)</f>
        <v>511.456701984559</v>
      </c>
      <c r="J10" s="21" t="n">
        <f aca="false">J8*(1-J9)</f>
        <v>535.459020159013</v>
      </c>
      <c r="K10" s="21" t="n">
        <f aca="false">K8*(1-K9)</f>
        <v>556.673665848883</v>
      </c>
      <c r="L10" s="21" t="n">
        <f aca="false">L8*(1-L9)</f>
        <v>574.659666880055</v>
      </c>
      <c r="M10" s="21" t="n">
        <f aca="false">M8*(1-M9)</f>
        <v>589.026158552056</v>
      </c>
    </row>
    <row r="11" customFormat="false" ht="15" hidden="false" customHeight="false" outlineLevel="0" collapsed="false">
      <c r="A11" s="7" t="s">
        <v>85</v>
      </c>
      <c r="C11" s="19" t="n">
        <f aca="false">C5*Inputs!$B$8</f>
        <v>87.1182</v>
      </c>
      <c r="D11" s="19" t="n">
        <f aca="false">D5*Inputs!$B$8</f>
        <v>263.47643108525</v>
      </c>
      <c r="E11" s="19" t="n">
        <f aca="false">E5*Inputs!$B$8</f>
        <v>279.693109336908</v>
      </c>
      <c r="F11" s="19" t="n">
        <f aca="false">F5*Inputs!$B$8</f>
        <v>296.907905911463</v>
      </c>
      <c r="G11" s="19" t="n">
        <f aca="false">G5*Inputs!$B$8</f>
        <v>315.182253870054</v>
      </c>
      <c r="H11" s="19" t="n">
        <f aca="false">H5*Inputs!$B$8</f>
        <v>334.581367409698</v>
      </c>
      <c r="I11" s="19" t="n">
        <f aca="false">I5*Inputs!$B$8</f>
        <v>352.728759989351</v>
      </c>
      <c r="J11" s="19" t="n">
        <f aca="false">J5*Inputs!$B$8</f>
        <v>369.282082868285</v>
      </c>
      <c r="K11" s="19" t="n">
        <f aca="false">K5*Inputs!$B$8</f>
        <v>383.91287299923</v>
      </c>
      <c r="L11" s="19" t="n">
        <f aca="false">L5*Inputs!$B$8</f>
        <v>396.317011641417</v>
      </c>
      <c r="M11" s="19" t="n">
        <f aca="false">M5*Inputs!$B$8</f>
        <v>406.224936932452</v>
      </c>
    </row>
    <row r="13" customFormat="false" ht="15" hidden="false" customHeight="false" outlineLevel="0" collapsed="false">
      <c r="A13" s="22" t="s">
        <v>86</v>
      </c>
      <c r="B13" s="23"/>
      <c r="C13" s="23"/>
      <c r="D13" s="23"/>
      <c r="E13" s="23"/>
      <c r="F13" s="23"/>
      <c r="G13" s="23"/>
      <c r="H13" s="23"/>
      <c r="I13" s="23"/>
      <c r="J13" s="23"/>
      <c r="K13" s="23"/>
      <c r="L13" s="23"/>
      <c r="M13" s="23"/>
    </row>
    <row r="14" customFormat="false" ht="15" hidden="false" customHeight="false" outlineLevel="0" collapsed="false">
      <c r="A14" s="7" t="s">
        <v>122</v>
      </c>
      <c r="B14" s="19" t="n">
        <f aca="false">Inputs!$B$14-Inputs!$B$10*Inputs!$B$5</f>
        <v>3213.26</v>
      </c>
      <c r="C14" s="5" t="s">
        <v>123</v>
      </c>
    </row>
    <row r="15" customFormat="false" ht="15" hidden="false" customHeight="false" outlineLevel="0" collapsed="false">
      <c r="A15" s="7" t="s">
        <v>124</v>
      </c>
      <c r="B15" s="29" t="n">
        <f aca="false">$B$14/Inputs!$B$5</f>
        <v>0.945076470588235</v>
      </c>
      <c r="C15" s="5" t="s">
        <v>125</v>
      </c>
    </row>
    <row r="16" customFormat="false" ht="15" hidden="false" customHeight="false" outlineLevel="0" collapsed="false">
      <c r="A16" s="7" t="s">
        <v>126</v>
      </c>
      <c r="D16" s="34" t="n">
        <f aca="false">Inputs!C$30</f>
        <v>0.06154887625</v>
      </c>
      <c r="E16" s="34" t="n">
        <f aca="false">Inputs!D$30</f>
        <v>0.06154887625</v>
      </c>
      <c r="F16" s="34" t="n">
        <f aca="false">Inputs!E$30</f>
        <v>0.06154887625</v>
      </c>
      <c r="G16" s="34" t="n">
        <f aca="false">Inputs!F$30</f>
        <v>0.06154887625</v>
      </c>
      <c r="H16" s="34" t="n">
        <f aca="false">Inputs!G$30</f>
        <v>0.06154887625</v>
      </c>
      <c r="I16" s="34" t="n">
        <f aca="false">Inputs!H$30</f>
        <v>0.054239101</v>
      </c>
      <c r="J16" s="34" t="n">
        <f aca="false">Inputs!I$30</f>
        <v>0.04692932575</v>
      </c>
      <c r="K16" s="34" t="n">
        <f aca="false">Inputs!J$30</f>
        <v>0.0396195505</v>
      </c>
      <c r="L16" s="34" t="n">
        <f aca="false">Inputs!K$30</f>
        <v>0.03230977525</v>
      </c>
      <c r="M16" s="34" t="n">
        <f aca="false">Inputs!L$30</f>
        <v>0.025</v>
      </c>
    </row>
    <row r="17" customFormat="false" ht="15" hidden="false" customHeight="false" outlineLevel="0" collapsed="false">
      <c r="A17" s="7" t="s">
        <v>127</v>
      </c>
      <c r="C17" s="19" t="n">
        <f aca="false">$B$14+C5*(Inputs!$B$9-Inputs!$B$8)</f>
        <v>3221.6138</v>
      </c>
      <c r="D17" s="19" t="n">
        <f aca="false">$B$15*D5</f>
        <v>3411.03254209908</v>
      </c>
      <c r="E17" s="19" t="n">
        <f aca="false">$B$15*E5</f>
        <v>3620.97776191745</v>
      </c>
      <c r="F17" s="19" t="n">
        <f aca="false">$B$15*F5</f>
        <v>3843.84487408971</v>
      </c>
      <c r="G17" s="19" t="n">
        <f aca="false">$B$15*G5</f>
        <v>4080.42920656926</v>
      </c>
      <c r="H17" s="19" t="n">
        <f aca="false">$B$15*H5</f>
        <v>4331.57503885128</v>
      </c>
      <c r="I17" s="19" t="n">
        <f aca="false">$B$15*I5</f>
        <v>4566.51577487261</v>
      </c>
      <c r="J17" s="19" t="n">
        <f aca="false">$B$15*J5</f>
        <v>4780.81928121412</v>
      </c>
      <c r="K17" s="19" t="n">
        <f aca="false">$B$15*K5</f>
        <v>4970.23319215756</v>
      </c>
      <c r="L17" s="19" t="n">
        <f aca="false">$B$15*L5</f>
        <v>5130.82030953626</v>
      </c>
      <c r="M17" s="19" t="n">
        <f aca="false">$B$15*M5</f>
        <v>5259.09081727466</v>
      </c>
    </row>
    <row r="18" customFormat="false" ht="15" hidden="false" customHeight="false" outlineLevel="0" collapsed="false">
      <c r="A18" s="7" t="s">
        <v>90</v>
      </c>
      <c r="C18" s="19" t="n">
        <f aca="false">C5*Inputs!$B$9</f>
        <v>95.472</v>
      </c>
      <c r="D18" s="19" t="n">
        <f aca="false">D17-C17+D5*Inputs!$B$8</f>
        <v>452.895173184325</v>
      </c>
      <c r="E18" s="19" t="n">
        <f aca="false">E17-D17+E5*Inputs!$B$8</f>
        <v>489.638329155287</v>
      </c>
      <c r="F18" s="19" t="n">
        <f aca="false">F17-E17+F5*Inputs!$B$8</f>
        <v>519.775018083722</v>
      </c>
      <c r="G18" s="19" t="n">
        <f aca="false">G17-F17+G5*Inputs!$B$8</f>
        <v>551.766586349599</v>
      </c>
      <c r="H18" s="19" t="n">
        <f aca="false">H17-G17+H5*Inputs!$B$8</f>
        <v>585.727199691715</v>
      </c>
      <c r="I18" s="19" t="n">
        <f aca="false">I17-H17+I5*Inputs!$B$8</f>
        <v>587.669496010685</v>
      </c>
      <c r="J18" s="19" t="n">
        <f aca="false">J17-I17+J5*Inputs!$B$8</f>
        <v>583.585589209796</v>
      </c>
      <c r="K18" s="19" t="n">
        <f aca="false">K17-J17+K5*Inputs!$B$8</f>
        <v>573.326783942667</v>
      </c>
      <c r="L18" s="19" t="n">
        <f aca="false">L17-K17+L5*Inputs!$B$8</f>
        <v>556.904129020118</v>
      </c>
      <c r="M18" s="19" t="n">
        <f aca="false">M17-L17+M5*Inputs!$B$8</f>
        <v>534.495444670858</v>
      </c>
      <c r="O18" s="5" t="s">
        <v>128</v>
      </c>
    </row>
    <row r="19" customFormat="false" ht="15" hidden="false" customHeight="false" outlineLevel="0" collapsed="false">
      <c r="A19" s="7" t="s">
        <v>129</v>
      </c>
      <c r="C19" s="20" t="n">
        <f aca="false">C18/C5</f>
        <v>0.08</v>
      </c>
      <c r="D19" s="20" t="n">
        <f aca="false">D18/D5</f>
        <v>0.125481233772134</v>
      </c>
      <c r="E19" s="20" t="n">
        <f aca="false">E18/E5</f>
        <v>0.127795776281641</v>
      </c>
      <c r="F19" s="20" t="n">
        <f aca="false">F18/F5</f>
        <v>0.127795776281641</v>
      </c>
      <c r="G19" s="20" t="n">
        <f aca="false">G18/G5</f>
        <v>0.127795776281641</v>
      </c>
      <c r="H19" s="20" t="n">
        <f aca="false">H18/H5</f>
        <v>0.127795776281641</v>
      </c>
      <c r="I19" s="20" t="n">
        <f aca="false">I18/I5</f>
        <v>0.12162283906216</v>
      </c>
      <c r="J19" s="20" t="n">
        <f aca="false">J18/J5</f>
        <v>0.115363701594779</v>
      </c>
      <c r="K19" s="20" t="n">
        <f aca="false">K18/K5</f>
        <v>0.109016545605384</v>
      </c>
      <c r="L19" s="20" t="n">
        <f aca="false">L18/L5</f>
        <v>0.102579501319141</v>
      </c>
      <c r="M19" s="20" t="n">
        <f aca="false">M18/M5</f>
        <v>0.0960506456241033</v>
      </c>
    </row>
    <row r="21" customFormat="false" ht="15" hidden="false" customHeight="false" outlineLevel="0" collapsed="false">
      <c r="A21" s="7" t="s">
        <v>91</v>
      </c>
      <c r="C21" s="19" t="n">
        <f aca="false">Inputs!$B$10*(C6-Inputs!$B$5)</f>
        <v>9.91175287339496</v>
      </c>
      <c r="D21" s="19" t="n">
        <f aca="false">Inputs!$B$10*(D5-C6)</f>
        <v>18.8832733914051</v>
      </c>
      <c r="E21" s="19" t="n">
        <f aca="false">Inputs!$B$10*(E5-D5)</f>
        <v>30.5673277729877</v>
      </c>
      <c r="F21" s="19" t="n">
        <f aca="false">Inputs!$B$10*(F5-E5)</f>
        <v>32.4487124473805</v>
      </c>
      <c r="G21" s="19" t="n">
        <f aca="false">Inputs!$B$10*(G5-F5)</f>
        <v>34.4458942342762</v>
      </c>
      <c r="H21" s="19" t="n">
        <f aca="false">Inputs!$B$10*(H5-G5)</f>
        <v>36.5660003158222</v>
      </c>
      <c r="I21" s="19" t="n">
        <f aca="false">Inputs!$B$10*(I5-H5)</f>
        <v>34.2065920405509</v>
      </c>
      <c r="J21" s="19" t="n">
        <f aca="false">Inputs!$B$10*(J5-I5)</f>
        <v>31.201879837552</v>
      </c>
      <c r="K21" s="19" t="n">
        <f aca="false">Inputs!$B$10*(K5-J5)</f>
        <v>27.5780372879187</v>
      </c>
      <c r="L21" s="19" t="n">
        <f aca="false">Inputs!$B$10*(L5-K5)</f>
        <v>23.3809517419853</v>
      </c>
      <c r="M21" s="19" t="n">
        <f aca="false">Inputs!$B$10*(M5-L5)</f>
        <v>18.6757605485817</v>
      </c>
    </row>
    <row r="22" customFormat="false" ht="15" hidden="false" customHeight="false" outlineLevel="0" collapsed="false">
      <c r="A22" s="16" t="s">
        <v>92</v>
      </c>
      <c r="B22" s="17"/>
      <c r="C22" s="26" t="n">
        <f aca="false">C10+C11-C18-C21</f>
        <v>112.143232126605</v>
      </c>
      <c r="D22" s="26" t="n">
        <f aca="false">D10+D11-D18-D21</f>
        <v>200.785748013887</v>
      </c>
      <c r="E22" s="26" t="n">
        <f aca="false">E10+E11-E18-E21</f>
        <v>210.85178613221</v>
      </c>
      <c r="F22" s="26" t="n">
        <f aca="false">F10+F11-F18-F21</f>
        <v>208.348576392781</v>
      </c>
      <c r="G22" s="26" t="n">
        <f aca="false">G10+G11-G18-G21</f>
        <v>201.02805736801</v>
      </c>
      <c r="H22" s="26" t="n">
        <f aca="false">H10+H11-H18-H21</f>
        <v>199.923323002785</v>
      </c>
      <c r="I22" s="26" t="n">
        <f aca="false">I10+I11-I18-I21</f>
        <v>242.309373922674</v>
      </c>
      <c r="J22" s="26" t="n">
        <f aca="false">J10+J11-J18-J21</f>
        <v>289.95363397995</v>
      </c>
      <c r="K22" s="26" t="n">
        <f aca="false">K10+K11-K18-K21</f>
        <v>339.681717617528</v>
      </c>
      <c r="L22" s="26" t="n">
        <f aca="false">L10+L11-L18-L21</f>
        <v>390.691597759368</v>
      </c>
      <c r="M22" s="26" t="n">
        <f aca="false">M10+M11-M18-M21</f>
        <v>442.079890265068</v>
      </c>
    </row>
    <row r="23" customFormat="false" ht="15" hidden="false" customHeight="false" outlineLevel="0" collapsed="false">
      <c r="A23" s="7" t="s">
        <v>93</v>
      </c>
      <c r="C23" s="27" t="n">
        <f aca="false">Inputs!$B$6/2</f>
        <v>0.1755</v>
      </c>
      <c r="D23" s="27" t="n">
        <f aca="false">Inputs!$B$6+1-0.5</f>
        <v>0.851</v>
      </c>
      <c r="E23" s="27" t="n">
        <f aca="false">Inputs!$B$6+2-0.5</f>
        <v>1.851</v>
      </c>
      <c r="F23" s="27" t="n">
        <f aca="false">Inputs!$B$6+3-0.5</f>
        <v>2.851</v>
      </c>
      <c r="G23" s="27" t="n">
        <f aca="false">Inputs!$B$6+4-0.5</f>
        <v>3.851</v>
      </c>
      <c r="H23" s="27" t="n">
        <f aca="false">Inputs!$B$6+5-0.5</f>
        <v>4.851</v>
      </c>
      <c r="I23" s="27" t="n">
        <f aca="false">Inputs!$B$6+6-0.5</f>
        <v>5.851</v>
      </c>
      <c r="J23" s="27" t="n">
        <f aca="false">Inputs!$B$6+7-0.5</f>
        <v>6.851</v>
      </c>
      <c r="K23" s="27" t="n">
        <f aca="false">Inputs!$B$6+8-0.5</f>
        <v>7.851</v>
      </c>
      <c r="L23" s="27" t="n">
        <f aca="false">Inputs!$B$6+9-0.5</f>
        <v>8.851</v>
      </c>
      <c r="M23" s="27" t="n">
        <f aca="false">Inputs!$B$6+10-0.5</f>
        <v>9.851</v>
      </c>
    </row>
    <row r="24" customFormat="false" ht="15" hidden="false" customHeight="false" outlineLevel="0" collapsed="false">
      <c r="A24" s="7" t="s">
        <v>94</v>
      </c>
      <c r="C24" s="19" t="n">
        <f aca="false">C22/(1+Inputs!$B$12)^C23</f>
        <v>110.48178053763</v>
      </c>
      <c r="D24" s="19" t="n">
        <f aca="false">D22/(1+Inputs!$B$12)^D23</f>
        <v>186.766803815771</v>
      </c>
      <c r="E24" s="19" t="n">
        <f aca="false">E22/(1+Inputs!$B$12)^E23</f>
        <v>180.138819455946</v>
      </c>
      <c r="F24" s="19" t="n">
        <f aca="false">F22/(1+Inputs!$B$12)^F23</f>
        <v>163.487212668171</v>
      </c>
      <c r="G24" s="19" t="n">
        <f aca="false">G22/(1+Inputs!$B$12)^G23</f>
        <v>144.881572896395</v>
      </c>
      <c r="H24" s="19" t="n">
        <f aca="false">H22/(1+Inputs!$B$12)^H23</f>
        <v>132.337571972979</v>
      </c>
      <c r="I24" s="19" t="n">
        <f aca="false">I22/(1+Inputs!$B$12)^I23</f>
        <v>147.317092942682</v>
      </c>
      <c r="J24" s="19" t="n">
        <f aca="false">J22/(1+Inputs!$B$12)^J23</f>
        <v>161.910384829022</v>
      </c>
      <c r="K24" s="19" t="n">
        <f aca="false">K22/(1+Inputs!$B$12)^K23</f>
        <v>174.213395704386</v>
      </c>
      <c r="L24" s="19" t="n">
        <f aca="false">L22/(1+Inputs!$B$12)^L23</f>
        <v>184.03764557771</v>
      </c>
      <c r="M24" s="19" t="n">
        <f aca="false">M22/(1+Inputs!$B$12)^M23</f>
        <v>191.265474063495</v>
      </c>
    </row>
    <row r="26" customFormat="false" ht="15" hidden="false" customHeight="false" outlineLevel="0" collapsed="false">
      <c r="A26" s="6" t="s">
        <v>95</v>
      </c>
    </row>
    <row r="27" customFormat="false" ht="15" hidden="false" customHeight="false" outlineLevel="0" collapsed="false">
      <c r="A27" s="7" t="s">
        <v>96</v>
      </c>
      <c r="B27" s="28" t="n">
        <f aca="false">Inputs!$B$14</f>
        <v>3681.1</v>
      </c>
      <c r="C27" s="19" t="n">
        <f aca="false">$B$27+C18-C11+C21</f>
        <v>3699.3655528734</v>
      </c>
      <c r="D27" s="19" t="n">
        <f aca="false">C27+D18-D11+D21</f>
        <v>3907.66756836388</v>
      </c>
      <c r="E27" s="19" t="n">
        <f aca="false">D27+E18-E11+E21</f>
        <v>4148.18011595524</v>
      </c>
      <c r="F27" s="19" t="n">
        <f aca="false">E27+F18-F11+F21</f>
        <v>4403.49594057488</v>
      </c>
      <c r="G27" s="19" t="n">
        <f aca="false">F27+G18-G11+G21</f>
        <v>4674.5261672887</v>
      </c>
      <c r="H27" s="19" t="n">
        <f aca="false">G27+H18-H11+H21</f>
        <v>4962.23799988654</v>
      </c>
      <c r="I27" s="19" t="n">
        <f aca="false">H27+I18-I11+I21</f>
        <v>5231.38532794843</v>
      </c>
      <c r="J27" s="19" t="n">
        <f aca="false">I27+J18-J11+J21</f>
        <v>5476.89071412749</v>
      </c>
      <c r="K27" s="19" t="n">
        <f aca="false">J27+K18-K11+K21</f>
        <v>5693.88266235885</v>
      </c>
      <c r="L27" s="19" t="n">
        <f aca="false">K27+L18-L11+L21</f>
        <v>5877.85073147953</v>
      </c>
      <c r="M27" s="19" t="n">
        <f aca="false">L27+M18-M11+M21</f>
        <v>6024.79699976652</v>
      </c>
    </row>
    <row r="28" customFormat="false" ht="15" hidden="false" customHeight="false" outlineLevel="0" collapsed="false">
      <c r="A28" s="7" t="s">
        <v>97</v>
      </c>
      <c r="B28" s="29" t="n">
        <f aca="false">$B$27/Inputs!$B$5</f>
        <v>1.08267647058824</v>
      </c>
      <c r="D28" s="29" t="n">
        <f aca="false">D27/D5</f>
        <v>1.08267647058824</v>
      </c>
      <c r="E28" s="29" t="n">
        <f aca="false">E27/E5</f>
        <v>1.08267647058824</v>
      </c>
      <c r="F28" s="29" t="n">
        <f aca="false">F27/F5</f>
        <v>1.08267647058824</v>
      </c>
      <c r="G28" s="29" t="n">
        <f aca="false">G27/G5</f>
        <v>1.08267647058824</v>
      </c>
      <c r="H28" s="29" t="n">
        <f aca="false">H27/H5</f>
        <v>1.08267647058824</v>
      </c>
      <c r="I28" s="29" t="n">
        <f aca="false">I27/I5</f>
        <v>1.08267647058824</v>
      </c>
      <c r="J28" s="29" t="n">
        <f aca="false">J27/J5</f>
        <v>1.08267647058824</v>
      </c>
      <c r="K28" s="29" t="n">
        <f aca="false">K27/K5</f>
        <v>1.08267647058824</v>
      </c>
      <c r="L28" s="29" t="n">
        <f aca="false">L27/L5</f>
        <v>1.08267647058824</v>
      </c>
      <c r="M28" s="29" t="n">
        <f aca="false">M27/M5</f>
        <v>1.08267647058824</v>
      </c>
      <c r="O28" s="5" t="s">
        <v>98</v>
      </c>
    </row>
    <row r="30" customFormat="false" ht="15" hidden="false" customHeight="false" outlineLevel="0" collapsed="false">
      <c r="A30" s="6" t="s">
        <v>99</v>
      </c>
    </row>
    <row r="31" customFormat="false" ht="15" hidden="false" customHeight="false" outlineLevel="0" collapsed="false">
      <c r="A31" s="7" t="s">
        <v>100</v>
      </c>
      <c r="B31" s="19" t="n">
        <f aca="false">M5*(1+Inputs!$B$13)</f>
        <v>5703.84329254471</v>
      </c>
    </row>
    <row r="32" customFormat="false" ht="15" hidden="false" customHeight="false" outlineLevel="0" collapsed="false">
      <c r="A32" s="7" t="s">
        <v>101</v>
      </c>
      <c r="B32" s="19" t="n">
        <f aca="false">M27-Inputs!$B$10*M5</f>
        <v>5259.09081727467</v>
      </c>
    </row>
    <row r="33" customFormat="false" ht="15" hidden="false" customHeight="false" outlineLevel="0" collapsed="false">
      <c r="A33" s="7" t="s">
        <v>102</v>
      </c>
      <c r="B33" s="30" t="n">
        <f aca="false">Inputs!$B$8+Inputs!$B$13*$B$32/M5</f>
        <v>0.0966269117647059</v>
      </c>
      <c r="C33" s="5" t="s">
        <v>103</v>
      </c>
    </row>
    <row r="34" customFormat="false" ht="15" hidden="false" customHeight="false" outlineLevel="0" collapsed="false">
      <c r="A34" s="7" t="s">
        <v>104</v>
      </c>
      <c r="B34" s="19" t="n">
        <f aca="false">$B$31*(M7*(1-M9)+Inputs!$B$8-$B$33-Inputs!$B$13*Inputs!$B$10)</f>
        <v>449.36638939684</v>
      </c>
    </row>
    <row r="35" customFormat="false" ht="15" hidden="false" customHeight="false" outlineLevel="0" collapsed="false">
      <c r="A35" s="7" t="s">
        <v>105</v>
      </c>
      <c r="B35" s="19" t="n">
        <f aca="false">$B$34/(Inputs!$B$12-Inputs!$B$13)</f>
        <v>7046.49929206783</v>
      </c>
    </row>
    <row r="36" customFormat="false" ht="15" hidden="false" customHeight="false" outlineLevel="0" collapsed="false">
      <c r="A36" s="7" t="s">
        <v>106</v>
      </c>
      <c r="B36" s="19" t="n">
        <f aca="false">$B$35/(1+Inputs!$B$12)^(Inputs!$B$6+10)</f>
        <v>2921.73515545927</v>
      </c>
    </row>
    <row r="37" customFormat="false" ht="15" hidden="false" customHeight="false" outlineLevel="0" collapsed="false">
      <c r="A37" s="7" t="s">
        <v>107</v>
      </c>
      <c r="B37" s="19" t="n">
        <f aca="false">$B$31*M7*(1-M9)</f>
        <v>603.751812515857</v>
      </c>
    </row>
    <row r="38" customFormat="false" ht="15" hidden="false" customHeight="false" outlineLevel="0" collapsed="false">
      <c r="A38" s="4" t="s">
        <v>108</v>
      </c>
      <c r="B38" s="31" t="n">
        <f aca="false">$B$37/M27</f>
        <v>0.1002111461248</v>
      </c>
    </row>
    <row r="39" customFormat="false" ht="15" hidden="false" customHeight="false" outlineLevel="0" collapsed="false">
      <c r="A39" s="4" t="s">
        <v>109</v>
      </c>
      <c r="B39" s="32" t="n">
        <f aca="false">$B$38/Inputs!$B$12</f>
        <v>1.12886519259821</v>
      </c>
      <c r="C39" s="5" t="s">
        <v>110</v>
      </c>
    </row>
    <row r="41" customFormat="false" ht="15" hidden="false" customHeight="false" outlineLevel="0" collapsed="false">
      <c r="A41" s="6" t="s">
        <v>111</v>
      </c>
    </row>
    <row r="42" customFormat="false" ht="15" hidden="false" customHeight="false" outlineLevel="0" collapsed="false">
      <c r="A42" s="7" t="s">
        <v>112</v>
      </c>
      <c r="B42" s="19" t="n">
        <f aca="false">SUM(C24:M24)</f>
        <v>1776.83775446419</v>
      </c>
    </row>
    <row r="43" customFormat="false" ht="15" hidden="false" customHeight="false" outlineLevel="0" collapsed="false">
      <c r="A43" s="7" t="s">
        <v>113</v>
      </c>
      <c r="B43" s="19" t="n">
        <f aca="false">$B$42+$B$36</f>
        <v>4698.57290992346</v>
      </c>
    </row>
    <row r="44" customFormat="false" ht="15" hidden="false" customHeight="false" outlineLevel="0" collapsed="false">
      <c r="A44" s="7" t="s">
        <v>114</v>
      </c>
      <c r="B44" s="29" t="n">
        <f aca="false">$B$36/$B$43</f>
        <v>0.621834589240601</v>
      </c>
      <c r="C44" s="5" t="s">
        <v>115</v>
      </c>
    </row>
    <row r="45" customFormat="false" ht="15" hidden="false" customHeight="false" outlineLevel="0" collapsed="false">
      <c r="A45" s="7" t="s">
        <v>116</v>
      </c>
      <c r="B45" s="19" t="n">
        <f aca="false">-Inputs!$B$23</f>
        <v>-1224.03287671233</v>
      </c>
    </row>
    <row r="46" customFormat="false" ht="15" hidden="false" customHeight="false" outlineLevel="0" collapsed="false">
      <c r="A46" s="7" t="s">
        <v>117</v>
      </c>
      <c r="B46" s="19" t="n">
        <f aca="false">-Inputs!$B$24</f>
        <v>-151.65</v>
      </c>
    </row>
    <row r="47" customFormat="false" ht="15" hidden="false" customHeight="false" outlineLevel="0" collapsed="false">
      <c r="A47" s="7" t="s">
        <v>118</v>
      </c>
      <c r="B47" s="19" t="n">
        <f aca="false">-Inputs!$B$25</f>
        <v>-194.3</v>
      </c>
    </row>
    <row r="48" customFormat="false" ht="15" hidden="false" customHeight="false" outlineLevel="0" collapsed="false">
      <c r="A48" s="4" t="s">
        <v>119</v>
      </c>
      <c r="B48" s="21" t="n">
        <f aca="false">$B$43+SUM($B$45:$B$47)</f>
        <v>3128.59003321113</v>
      </c>
    </row>
    <row r="49" customFormat="false" ht="15" hidden="false" customHeight="false" outlineLevel="0" collapsed="false">
      <c r="A49" s="6" t="s">
        <v>120</v>
      </c>
      <c r="B49" s="33" t="n">
        <f aca="false">$B$48/Inputs!$B$26</f>
        <v>1.76756499051477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3" min="2" style="0" width="11"/>
  </cols>
  <sheetData>
    <row r="1" customFormat="false" ht="17.35" hidden="false" customHeight="false" outlineLevel="0" collapsed="false">
      <c r="A1" s="1" t="s">
        <v>130</v>
      </c>
    </row>
    <row r="2" customFormat="false" ht="27.75" hidden="false" customHeight="true" outlineLevel="0" collapsed="false">
      <c r="A2" s="15" t="s">
        <v>12</v>
      </c>
    </row>
    <row r="4" customFormat="false" ht="15" hidden="false" customHeight="false" outlineLevel="0" collapsed="false">
      <c r="A4" s="16" t="s">
        <v>78</v>
      </c>
      <c r="B4" s="17"/>
      <c r="C4" s="18" t="s">
        <v>79</v>
      </c>
      <c r="D4" s="18" t="s">
        <v>60</v>
      </c>
      <c r="E4" s="18" t="s">
        <v>61</v>
      </c>
      <c r="F4" s="18" t="s">
        <v>62</v>
      </c>
      <c r="G4" s="18" t="s">
        <v>63</v>
      </c>
      <c r="H4" s="18" t="s">
        <v>64</v>
      </c>
      <c r="I4" s="18" t="s">
        <v>65</v>
      </c>
      <c r="J4" s="18" t="s">
        <v>66</v>
      </c>
      <c r="K4" s="18" t="s">
        <v>67</v>
      </c>
      <c r="L4" s="18" t="s">
        <v>68</v>
      </c>
      <c r="M4" s="18" t="s">
        <v>69</v>
      </c>
    </row>
    <row r="5" customFormat="false" ht="15" hidden="false" customHeight="false" outlineLevel="0" collapsed="false">
      <c r="A5" s="7" t="s">
        <v>80</v>
      </c>
      <c r="C5" s="19" t="n">
        <f aca="false">Inputs!$B$5*Inputs!$B$6</f>
        <v>1193.4</v>
      </c>
      <c r="D5" s="19" t="n">
        <f aca="false">Inputs!$B$5*(1+Inputs!C$30)</f>
        <v>3609.26617925</v>
      </c>
      <c r="E5" s="19" t="n">
        <f aca="false">D5*(1+Inputs!D$30)</f>
        <v>3831.41245666997</v>
      </c>
      <c r="F5" s="19" t="n">
        <f aca="false">E5*(1+Inputs!E$30)</f>
        <v>4067.23158782826</v>
      </c>
      <c r="G5" s="19" t="n">
        <f aca="false">F5*(1+Inputs!F$30)</f>
        <v>4317.56512150759</v>
      </c>
      <c r="H5" s="19" t="n">
        <f aca="false">G5*(1+Inputs!G$30)</f>
        <v>4583.30640287258</v>
      </c>
      <c r="I5" s="19" t="n">
        <f aca="false">H5*(1+Inputs!H$30)</f>
        <v>4831.90082177193</v>
      </c>
      <c r="J5" s="19" t="n">
        <f aca="false">I5*(1+Inputs!I$30)</f>
        <v>5058.65866942856</v>
      </c>
      <c r="K5" s="19" t="n">
        <f aca="false">J5*(1+Inputs!J$30)</f>
        <v>5259.08045204425</v>
      </c>
      <c r="L5" s="19" t="n">
        <f aca="false">K5*(1+Inputs!K$30)</f>
        <v>5429.00015947147</v>
      </c>
      <c r="M5" s="19" t="n">
        <f aca="false">L5*(1+Inputs!L$30)</f>
        <v>5564.72516345825</v>
      </c>
    </row>
    <row r="6" customFormat="false" ht="15" hidden="false" customHeight="false" outlineLevel="0" collapsed="false">
      <c r="A6" s="7" t="s">
        <v>81</v>
      </c>
      <c r="C6" s="19" t="n">
        <f aca="false">Inputs!$B$5*(1+Inputs!$C$30)^Inputs!$B$6</f>
        <v>3472.0330877427</v>
      </c>
      <c r="D6" s="19" t="n">
        <f aca="false">D5</f>
        <v>3609.26617925</v>
      </c>
      <c r="E6" s="19" t="n">
        <f aca="false">E5</f>
        <v>3831.41245666997</v>
      </c>
      <c r="F6" s="19" t="n">
        <f aca="false">F5</f>
        <v>4067.23158782826</v>
      </c>
      <c r="G6" s="19" t="n">
        <f aca="false">G5</f>
        <v>4317.56512150759</v>
      </c>
      <c r="H6" s="19" t="n">
        <f aca="false">H5</f>
        <v>4583.30640287258</v>
      </c>
      <c r="I6" s="19" t="n">
        <f aca="false">I5</f>
        <v>4831.90082177193</v>
      </c>
      <c r="J6" s="19" t="n">
        <f aca="false">J5</f>
        <v>5058.65866942856</v>
      </c>
      <c r="K6" s="19" t="n">
        <f aca="false">K5</f>
        <v>5259.08045204425</v>
      </c>
      <c r="L6" s="19" t="n">
        <f aca="false">L5</f>
        <v>5429.00015947147</v>
      </c>
      <c r="M6" s="19" t="n">
        <f aca="false">M5</f>
        <v>5564.72516345825</v>
      </c>
    </row>
    <row r="7" customFormat="false" ht="15" hidden="false" customHeight="false" outlineLevel="0" collapsed="false">
      <c r="A7" s="7" t="s">
        <v>82</v>
      </c>
      <c r="C7" s="20" t="n">
        <f aca="false">Inputs!$B$7</f>
        <v>0.141</v>
      </c>
      <c r="D7" s="20" t="n">
        <f aca="false">Inputs!$B$7+Inputs!C$31</f>
        <v>0.14625</v>
      </c>
      <c r="E7" s="20" t="n">
        <f aca="false">Inputs!$B$7+Inputs!D$31</f>
        <v>0.1545</v>
      </c>
      <c r="F7" s="20" t="n">
        <f aca="false">Inputs!$B$7+Inputs!E$31</f>
        <v>0.152</v>
      </c>
      <c r="G7" s="20" t="n">
        <f aca="false">Inputs!$B$7+Inputs!F$31</f>
        <v>0.14825</v>
      </c>
      <c r="H7" s="20" t="n">
        <f aca="false">Inputs!$B$7+Inputs!G$31</f>
        <v>0.14675</v>
      </c>
      <c r="I7" s="20" t="n">
        <f aca="false">Inputs!$B$7+Inputs!H$31</f>
        <v>0.146</v>
      </c>
      <c r="J7" s="20" t="n">
        <f aca="false">Inputs!$B$7+Inputs!I$31</f>
        <v>0.146</v>
      </c>
      <c r="K7" s="20" t="n">
        <f aca="false">Inputs!$B$7+Inputs!J$31</f>
        <v>0.146</v>
      </c>
      <c r="L7" s="20" t="n">
        <f aca="false">Inputs!$B$7+Inputs!K$31</f>
        <v>0.146</v>
      </c>
      <c r="M7" s="20" t="n">
        <f aca="false">Inputs!$B$7+Inputs!L$31</f>
        <v>0.146</v>
      </c>
    </row>
    <row r="8" customFormat="false" ht="15" hidden="false" customHeight="false" outlineLevel="0" collapsed="false">
      <c r="A8" s="7" t="s">
        <v>83</v>
      </c>
      <c r="C8" s="19" t="n">
        <f aca="false">C5*C7</f>
        <v>168.2694</v>
      </c>
      <c r="D8" s="19" t="n">
        <f aca="false">D5*D7</f>
        <v>527.855178715313</v>
      </c>
      <c r="E8" s="19" t="n">
        <f aca="false">E5*E7</f>
        <v>591.95322455551</v>
      </c>
      <c r="F8" s="19" t="n">
        <f aca="false">F5*F7</f>
        <v>618.219201349895</v>
      </c>
      <c r="G8" s="19" t="n">
        <f aca="false">G5*G7</f>
        <v>640.0790292635</v>
      </c>
      <c r="H8" s="19" t="n">
        <f aca="false">H5*H7</f>
        <v>672.600214621551</v>
      </c>
      <c r="I8" s="19" t="n">
        <f aca="false">I5*I7</f>
        <v>705.457519978702</v>
      </c>
      <c r="J8" s="19" t="n">
        <f aca="false">J5*J7</f>
        <v>738.564165736569</v>
      </c>
      <c r="K8" s="19" t="n">
        <f aca="false">K5*K7</f>
        <v>767.82574599846</v>
      </c>
      <c r="L8" s="19" t="n">
        <f aca="false">L5*L7</f>
        <v>792.634023282834</v>
      </c>
      <c r="M8" s="19" t="n">
        <f aca="false">M5*M7</f>
        <v>812.449873864905</v>
      </c>
    </row>
    <row r="9" customFormat="false" ht="15" hidden="false" customHeight="false" outlineLevel="0" collapsed="false">
      <c r="A9" s="7" t="s">
        <v>74</v>
      </c>
      <c r="C9" s="20" t="n">
        <f aca="false">Inputs!$B$11</f>
        <v>0.225</v>
      </c>
      <c r="D9" s="20" t="n">
        <f aca="false">Inputs!C$32</f>
        <v>0.225</v>
      </c>
      <c r="E9" s="20" t="n">
        <f aca="false">Inputs!D$32</f>
        <v>0.2375</v>
      </c>
      <c r="F9" s="20" t="n">
        <f aca="false">Inputs!E$32</f>
        <v>0.25</v>
      </c>
      <c r="G9" s="20" t="n">
        <f aca="false">Inputs!F$32</f>
        <v>0.2625</v>
      </c>
      <c r="H9" s="20" t="n">
        <f aca="false">Inputs!G$32</f>
        <v>0.275</v>
      </c>
      <c r="I9" s="20" t="n">
        <f aca="false">Inputs!H$32</f>
        <v>0.275</v>
      </c>
      <c r="J9" s="20" t="n">
        <f aca="false">Inputs!I$32</f>
        <v>0.275</v>
      </c>
      <c r="K9" s="20" t="n">
        <f aca="false">Inputs!J$32</f>
        <v>0.275</v>
      </c>
      <c r="L9" s="20" t="n">
        <f aca="false">Inputs!K$32</f>
        <v>0.275</v>
      </c>
      <c r="M9" s="20" t="n">
        <f aca="false">Inputs!L$32</f>
        <v>0.275</v>
      </c>
    </row>
    <row r="10" customFormat="false" ht="15" hidden="false" customHeight="false" outlineLevel="0" collapsed="false">
      <c r="A10" s="4" t="s">
        <v>84</v>
      </c>
      <c r="C10" s="21" t="n">
        <f aca="false">C8*(1-C9)</f>
        <v>130.408785</v>
      </c>
      <c r="D10" s="21" t="n">
        <f aca="false">D8*(1-D9)</f>
        <v>409.087763504367</v>
      </c>
      <c r="E10" s="21" t="n">
        <f aca="false">E8*(1-E9)</f>
        <v>451.364333723576</v>
      </c>
      <c r="F10" s="21" t="n">
        <f aca="false">F8*(1-F9)</f>
        <v>463.664401012421</v>
      </c>
      <c r="G10" s="21" t="n">
        <f aca="false">G8*(1-G9)</f>
        <v>472.058284081831</v>
      </c>
      <c r="H10" s="21" t="n">
        <f aca="false">H8*(1-H9)</f>
        <v>487.635155600624</v>
      </c>
      <c r="I10" s="21" t="n">
        <f aca="false">I8*(1-I9)</f>
        <v>511.456701984559</v>
      </c>
      <c r="J10" s="21" t="n">
        <f aca="false">J8*(1-J9)</f>
        <v>535.459020159013</v>
      </c>
      <c r="K10" s="21" t="n">
        <f aca="false">K8*(1-K9)</f>
        <v>556.673665848883</v>
      </c>
      <c r="L10" s="21" t="n">
        <f aca="false">L8*(1-L9)</f>
        <v>574.659666880055</v>
      </c>
      <c r="M10" s="21" t="n">
        <f aca="false">M8*(1-M9)</f>
        <v>589.026158552056</v>
      </c>
    </row>
    <row r="11" customFormat="false" ht="15" hidden="false" customHeight="false" outlineLevel="0" collapsed="false">
      <c r="A11" s="7" t="s">
        <v>85</v>
      </c>
      <c r="C11" s="19" t="n">
        <f aca="false">C5*Inputs!$B$8</f>
        <v>87.1182</v>
      </c>
      <c r="D11" s="19" t="n">
        <f aca="false">D5*Inputs!$B$8</f>
        <v>263.47643108525</v>
      </c>
      <c r="E11" s="19" t="n">
        <f aca="false">E5*Inputs!$B$8</f>
        <v>279.693109336908</v>
      </c>
      <c r="F11" s="19" t="n">
        <f aca="false">F5*Inputs!$B$8</f>
        <v>296.907905911463</v>
      </c>
      <c r="G11" s="19" t="n">
        <f aca="false">G5*Inputs!$B$8</f>
        <v>315.182253870054</v>
      </c>
      <c r="H11" s="19" t="n">
        <f aca="false">H5*Inputs!$B$8</f>
        <v>334.581367409698</v>
      </c>
      <c r="I11" s="19" t="n">
        <f aca="false">I5*Inputs!$B$8</f>
        <v>352.728759989351</v>
      </c>
      <c r="J11" s="19" t="n">
        <f aca="false">J5*Inputs!$B$8</f>
        <v>369.282082868285</v>
      </c>
      <c r="K11" s="19" t="n">
        <f aca="false">K5*Inputs!$B$8</f>
        <v>383.91287299923</v>
      </c>
      <c r="L11" s="19" t="n">
        <f aca="false">L5*Inputs!$B$8</f>
        <v>396.317011641417</v>
      </c>
      <c r="M11" s="19" t="n">
        <f aca="false">M5*Inputs!$B$8</f>
        <v>406.224936932452</v>
      </c>
    </row>
    <row r="13" customFormat="false" ht="15" hidden="false" customHeight="false" outlineLevel="0" collapsed="false">
      <c r="A13" s="22" t="s">
        <v>86</v>
      </c>
      <c r="B13" s="23"/>
      <c r="C13" s="23"/>
      <c r="D13" s="23"/>
      <c r="E13" s="23"/>
      <c r="F13" s="23"/>
      <c r="G13" s="23"/>
      <c r="H13" s="23"/>
      <c r="I13" s="23"/>
      <c r="J13" s="23"/>
      <c r="K13" s="23"/>
      <c r="L13" s="23"/>
      <c r="M13" s="23"/>
    </row>
    <row r="14" customFormat="false" ht="15" hidden="false" customHeight="false" outlineLevel="0" collapsed="false">
      <c r="A14" s="7" t="s">
        <v>122</v>
      </c>
      <c r="B14" s="19" t="n">
        <f aca="false">Inputs!$B$14-Inputs!$B$10*Inputs!$B$5</f>
        <v>3213.26</v>
      </c>
      <c r="C14" s="5" t="s">
        <v>123</v>
      </c>
    </row>
    <row r="15" customFormat="false" ht="15" hidden="false" customHeight="false" outlineLevel="0" collapsed="false">
      <c r="A15" s="7" t="s">
        <v>131</v>
      </c>
      <c r="D15" s="34" t="n">
        <f aca="false">(1+Inputs!C$30)*(1+Inputs!$B$20)/(1+Inputs!$B$19)-1</f>
        <v>0.0579364104581914</v>
      </c>
      <c r="E15" s="34" t="n">
        <f aca="false">(1+Inputs!D$30)*(1+Inputs!$B$20)/(1+Inputs!$B$19)-1</f>
        <v>0.0579364104581914</v>
      </c>
      <c r="F15" s="34" t="n">
        <f aca="false">(1+Inputs!E$30)*(1+Inputs!$B$20)/(1+Inputs!$B$19)-1</f>
        <v>0.0579364104581914</v>
      </c>
      <c r="G15" s="34" t="n">
        <f aca="false">(1+Inputs!F$30)*(1+Inputs!$B$20)/(1+Inputs!$B$19)-1</f>
        <v>0.0579364104581914</v>
      </c>
      <c r="H15" s="34" t="n">
        <f aca="false">(1+Inputs!G$30)*(1+Inputs!$B$20)/(1+Inputs!$B$19)-1</f>
        <v>0.0579364104581914</v>
      </c>
      <c r="I15" s="34" t="n">
        <f aca="false">(1+Inputs!H$30)*(1+Inputs!$B$20)/(1+Inputs!$B$19)-1</f>
        <v>0.050651510476422</v>
      </c>
      <c r="J15" s="34" t="n">
        <f aca="false">(1+Inputs!I$30)*(1+Inputs!$B$20)/(1+Inputs!$B$19)-1</f>
        <v>0.0433666104946524</v>
      </c>
      <c r="K15" s="34" t="n">
        <f aca="false">(1+Inputs!J$30)*(1+Inputs!$B$20)/(1+Inputs!$B$19)-1</f>
        <v>0.036081710512883</v>
      </c>
      <c r="L15" s="34" t="n">
        <f aca="false">(1+Inputs!K$30)*(1+Inputs!$B$20)/(1+Inputs!$B$19)-1</f>
        <v>0.0287968105311134</v>
      </c>
      <c r="M15" s="34" t="n">
        <f aca="false">(1+Inputs!L$30)*(1+Inputs!$B$20)/(1+Inputs!$B$19)-1</f>
        <v>0.0215119105493438</v>
      </c>
      <c r="O15" s="5" t="s">
        <v>132</v>
      </c>
    </row>
    <row r="16" customFormat="false" ht="15" hidden="false" customHeight="false" outlineLevel="0" collapsed="false">
      <c r="A16" s="7" t="s">
        <v>127</v>
      </c>
      <c r="C16" s="19" t="n">
        <f aca="false">$B$14+C5*(Inputs!$B$9-Inputs!$B$8)</f>
        <v>3221.6138</v>
      </c>
      <c r="D16" s="19" t="n">
        <f aca="false">C16*(1+D15)</f>
        <v>3408.26253945457</v>
      </c>
      <c r="E16" s="19" t="n">
        <f aca="false">D16*(1+E15)</f>
        <v>3605.72503688969</v>
      </c>
      <c r="F16" s="19" t="n">
        <f aca="false">E16*(1+F15)</f>
        <v>3814.62780262631</v>
      </c>
      <c r="G16" s="19" t="n">
        <f aca="false">F16*(1+G15)</f>
        <v>4035.6336447445</v>
      </c>
      <c r="H16" s="19" t="n">
        <f aca="false">G16*(1+H15)</f>
        <v>4269.4437720453</v>
      </c>
      <c r="I16" s="19" t="n">
        <f aca="false">H16*(1+I15)</f>
        <v>4485.69754799355</v>
      </c>
      <c r="J16" s="19" t="n">
        <f aca="false">I16*(1+J15)</f>
        <v>4680.2270463542</v>
      </c>
      <c r="K16" s="19" t="n">
        <f aca="false">J16*(1+K15)</f>
        <v>4849.09764377532</v>
      </c>
      <c r="L16" s="19" t="n">
        <f aca="false">K16*(1+L15)</f>
        <v>4988.73618986999</v>
      </c>
      <c r="M16" s="19" t="n">
        <f aca="false">L16*(1+M15)</f>
        <v>5096.05343654074</v>
      </c>
    </row>
    <row r="17" customFormat="false" ht="15" hidden="false" customHeight="false" outlineLevel="0" collapsed="false">
      <c r="A17" s="7" t="s">
        <v>90</v>
      </c>
      <c r="C17" s="19" t="n">
        <f aca="false">C5*Inputs!$B$9</f>
        <v>95.472</v>
      </c>
      <c r="D17" s="19" t="n">
        <f aca="false">D16-C16+D5*Inputs!$B$8</f>
        <v>450.125170539824</v>
      </c>
      <c r="E17" s="19" t="n">
        <f aca="false">E16-D16+E5*Inputs!$B$8</f>
        <v>477.155606772026</v>
      </c>
      <c r="F17" s="19" t="n">
        <f aca="false">F16-E16+F5*Inputs!$B$8</f>
        <v>505.810671648081</v>
      </c>
      <c r="G17" s="19" t="n">
        <f aca="false">G16-F16+G5*Inputs!$B$8</f>
        <v>536.188095988241</v>
      </c>
      <c r="H17" s="19" t="n">
        <f aca="false">H16-G16+H5*Inputs!$B$8</f>
        <v>568.391494710503</v>
      </c>
      <c r="I17" s="19" t="n">
        <f aca="false">I16-H16+I5*Inputs!$B$8</f>
        <v>568.982535937598</v>
      </c>
      <c r="J17" s="19" t="n">
        <f aca="false">J16-I16+J5*Inputs!$B$8</f>
        <v>563.811581228938</v>
      </c>
      <c r="K17" s="19" t="n">
        <f aca="false">K16-J16+K5*Inputs!$B$8</f>
        <v>552.783470420348</v>
      </c>
      <c r="L17" s="19" t="n">
        <f aca="false">L16-K16+L5*Inputs!$B$8</f>
        <v>535.955557736083</v>
      </c>
      <c r="M17" s="19" t="n">
        <f aca="false">M16-L16+M5*Inputs!$B$8</f>
        <v>513.54218360321</v>
      </c>
      <c r="O17" s="5" t="s">
        <v>128</v>
      </c>
    </row>
    <row r="18" customFormat="false" ht="15" hidden="false" customHeight="false" outlineLevel="0" collapsed="false">
      <c r="A18" s="7" t="s">
        <v>129</v>
      </c>
      <c r="C18" s="20" t="n">
        <f aca="false">C17/C5</f>
        <v>0.08</v>
      </c>
      <c r="D18" s="20" t="n">
        <f aca="false">D17/D5</f>
        <v>0.124713764013204</v>
      </c>
      <c r="E18" s="20" t="n">
        <f aca="false">E17/E5</f>
        <v>0.124537781345196</v>
      </c>
      <c r="F18" s="20" t="n">
        <f aca="false">F17/F5</f>
        <v>0.124362397548689</v>
      </c>
      <c r="G18" s="20" t="n">
        <f aca="false">G17/G5</f>
        <v>0.124187610585713</v>
      </c>
      <c r="H18" s="20" t="n">
        <f aca="false">H17/H5</f>
        <v>0.124013418425237</v>
      </c>
      <c r="I18" s="20" t="n">
        <f aca="false">I17/I5</f>
        <v>0.117755425230136</v>
      </c>
      <c r="J18" s="20" t="n">
        <f aca="false">J17/J5</f>
        <v>0.111454758676696</v>
      </c>
      <c r="K18" s="20" t="n">
        <f aca="false">K17/K5</f>
        <v>0.105110289804651</v>
      </c>
      <c r="L18" s="20" t="n">
        <f aca="false">L17/L5</f>
        <v>0.0987208587203763</v>
      </c>
      <c r="M18" s="20" t="n">
        <f aca="false">M17/M5</f>
        <v>0.0922852734894214</v>
      </c>
    </row>
    <row r="20" customFormat="false" ht="15" hidden="false" customHeight="false" outlineLevel="0" collapsed="false">
      <c r="A20" s="7" t="s">
        <v>91</v>
      </c>
      <c r="C20" s="19" t="n">
        <f aca="false">Inputs!$B$10*(C6-Inputs!$B$5)</f>
        <v>9.91175287339496</v>
      </c>
      <c r="D20" s="19" t="n">
        <f aca="false">Inputs!$B$10*(D5-C6)</f>
        <v>18.8832733914051</v>
      </c>
      <c r="E20" s="19" t="n">
        <f aca="false">Inputs!$B$10*(E5-D5)</f>
        <v>30.5673277729877</v>
      </c>
      <c r="F20" s="19" t="n">
        <f aca="false">Inputs!$B$10*(F5-E5)</f>
        <v>32.4487124473805</v>
      </c>
      <c r="G20" s="19" t="n">
        <f aca="false">Inputs!$B$10*(G5-F5)</f>
        <v>34.4458942342762</v>
      </c>
      <c r="H20" s="19" t="n">
        <f aca="false">Inputs!$B$10*(H5-G5)</f>
        <v>36.5660003158222</v>
      </c>
      <c r="I20" s="19" t="n">
        <f aca="false">Inputs!$B$10*(I5-H5)</f>
        <v>34.2065920405509</v>
      </c>
      <c r="J20" s="19" t="n">
        <f aca="false">Inputs!$B$10*(J5-I5)</f>
        <v>31.201879837552</v>
      </c>
      <c r="K20" s="19" t="n">
        <f aca="false">Inputs!$B$10*(K5-J5)</f>
        <v>27.5780372879187</v>
      </c>
      <c r="L20" s="19" t="n">
        <f aca="false">Inputs!$B$10*(L5-K5)</f>
        <v>23.3809517419853</v>
      </c>
      <c r="M20" s="19" t="n">
        <f aca="false">Inputs!$B$10*(M5-L5)</f>
        <v>18.6757605485817</v>
      </c>
    </row>
    <row r="21" customFormat="false" ht="15" hidden="false" customHeight="false" outlineLevel="0" collapsed="false">
      <c r="A21" s="16" t="s">
        <v>92</v>
      </c>
      <c r="B21" s="17"/>
      <c r="C21" s="26" t="n">
        <f aca="false">C10+C11-C17-C20</f>
        <v>112.143232126605</v>
      </c>
      <c r="D21" s="26" t="n">
        <f aca="false">D10+D11-D17-D20</f>
        <v>203.555750658388</v>
      </c>
      <c r="E21" s="26" t="n">
        <f aca="false">E10+E11-E17-E20</f>
        <v>223.334508515471</v>
      </c>
      <c r="F21" s="26" t="n">
        <f aca="false">F10+F11-F17-F20</f>
        <v>222.312922828422</v>
      </c>
      <c r="G21" s="26" t="n">
        <f aca="false">G10+G11-G17-G20</f>
        <v>216.606547729369</v>
      </c>
      <c r="H21" s="26" t="n">
        <f aca="false">H10+H11-H17-H20</f>
        <v>217.259027983997</v>
      </c>
      <c r="I21" s="26" t="n">
        <f aca="false">I10+I11-I17-I20</f>
        <v>260.99633399576</v>
      </c>
      <c r="J21" s="26" t="n">
        <f aca="false">J10+J11-J17-J20</f>
        <v>309.727641960807</v>
      </c>
      <c r="K21" s="26" t="n">
        <f aca="false">K10+K11-K17-K20</f>
        <v>360.225031139847</v>
      </c>
      <c r="L21" s="26" t="n">
        <f aca="false">L10+L11-L17-L20</f>
        <v>411.640169043403</v>
      </c>
      <c r="M21" s="26" t="n">
        <f aca="false">M10+M11-M17-M20</f>
        <v>463.033151332717</v>
      </c>
    </row>
    <row r="22" customFormat="false" ht="15" hidden="false" customHeight="false" outlineLevel="0" collapsed="false">
      <c r="A22" s="7" t="s">
        <v>93</v>
      </c>
      <c r="C22" s="27" t="n">
        <f aca="false">Inputs!$B$6/2</f>
        <v>0.1755</v>
      </c>
      <c r="D22" s="27" t="n">
        <f aca="false">Inputs!$B$6+1-0.5</f>
        <v>0.851</v>
      </c>
      <c r="E22" s="27" t="n">
        <f aca="false">Inputs!$B$6+2-0.5</f>
        <v>1.851</v>
      </c>
      <c r="F22" s="27" t="n">
        <f aca="false">Inputs!$B$6+3-0.5</f>
        <v>2.851</v>
      </c>
      <c r="G22" s="27" t="n">
        <f aca="false">Inputs!$B$6+4-0.5</f>
        <v>3.851</v>
      </c>
      <c r="H22" s="27" t="n">
        <f aca="false">Inputs!$B$6+5-0.5</f>
        <v>4.851</v>
      </c>
      <c r="I22" s="27" t="n">
        <f aca="false">Inputs!$B$6+6-0.5</f>
        <v>5.851</v>
      </c>
      <c r="J22" s="27" t="n">
        <f aca="false">Inputs!$B$6+7-0.5</f>
        <v>6.851</v>
      </c>
      <c r="K22" s="27" t="n">
        <f aca="false">Inputs!$B$6+8-0.5</f>
        <v>7.851</v>
      </c>
      <c r="L22" s="27" t="n">
        <f aca="false">Inputs!$B$6+9-0.5</f>
        <v>8.851</v>
      </c>
      <c r="M22" s="27" t="n">
        <f aca="false">Inputs!$B$6+10-0.5</f>
        <v>9.851</v>
      </c>
    </row>
    <row r="23" customFormat="false" ht="15" hidden="false" customHeight="false" outlineLevel="0" collapsed="false">
      <c r="A23" s="7" t="s">
        <v>94</v>
      </c>
      <c r="C23" s="19" t="n">
        <f aca="false">C21/(1+Inputs!$B$12)^C22</f>
        <v>110.48178053763</v>
      </c>
      <c r="D23" s="19" t="n">
        <f aca="false">D21/(1+Inputs!$B$12)^D22</f>
        <v>189.343403726832</v>
      </c>
      <c r="E23" s="19" t="n">
        <f aca="false">E21/(1+Inputs!$B$12)^E22</f>
        <v>190.803291002358</v>
      </c>
      <c r="F23" s="19" t="n">
        <f aca="false">F21/(1+Inputs!$B$12)^F22</f>
        <v>174.444772902189</v>
      </c>
      <c r="G23" s="19" t="n">
        <f aca="false">G21/(1+Inputs!$B$12)^G22</f>
        <v>156.10904142221</v>
      </c>
      <c r="H23" s="19" t="n">
        <f aca="false">H21/(1+Inputs!$B$12)^H22</f>
        <v>143.812796930207</v>
      </c>
      <c r="I23" s="19" t="n">
        <f aca="false">I21/(1+Inputs!$B$12)^I22</f>
        <v>158.678224331604</v>
      </c>
      <c r="J23" s="19" t="n">
        <f aca="false">J21/(1+Inputs!$B$12)^J22</f>
        <v>172.95220968166</v>
      </c>
      <c r="K23" s="19" t="n">
        <f aca="false">K21/(1+Inputs!$B$12)^K22</f>
        <v>184.749495300341</v>
      </c>
      <c r="L23" s="19" t="n">
        <f aca="false">L21/(1+Inputs!$B$12)^L22</f>
        <v>193.905597075621</v>
      </c>
      <c r="M23" s="19" t="n">
        <f aca="false">M21/(1+Inputs!$B$12)^M22</f>
        <v>200.330883957795</v>
      </c>
    </row>
    <row r="25" customFormat="false" ht="15" hidden="false" customHeight="false" outlineLevel="0" collapsed="false">
      <c r="A25" s="6" t="s">
        <v>95</v>
      </c>
    </row>
    <row r="26" customFormat="false" ht="15" hidden="false" customHeight="false" outlineLevel="0" collapsed="false">
      <c r="A26" s="7" t="s">
        <v>96</v>
      </c>
      <c r="B26" s="28" t="n">
        <f aca="false">Inputs!$B$14</f>
        <v>3681.1</v>
      </c>
      <c r="C26" s="19" t="n">
        <f aca="false">$B$26+C17-C11+C20</f>
        <v>3699.3655528734</v>
      </c>
      <c r="D26" s="19" t="n">
        <f aca="false">C26+D17-D11+D20</f>
        <v>3904.89756571937</v>
      </c>
      <c r="E26" s="19" t="n">
        <f aca="false">D26+E17-E11+E20</f>
        <v>4132.92739092748</v>
      </c>
      <c r="F26" s="19" t="n">
        <f aca="false">E26+F17-F11+F20</f>
        <v>4374.27886911148</v>
      </c>
      <c r="G26" s="19" t="n">
        <f aca="false">F26+G17-G11+G20</f>
        <v>4629.73060546394</v>
      </c>
      <c r="H26" s="19" t="n">
        <f aca="false">G26+H17-H11+H20</f>
        <v>4900.10673308057</v>
      </c>
      <c r="I26" s="19" t="n">
        <f aca="false">H26+I17-I11+I20</f>
        <v>5150.56710106937</v>
      </c>
      <c r="J26" s="19" t="n">
        <f aca="false">I26+J17-J11+J20</f>
        <v>5376.29847926757</v>
      </c>
      <c r="K26" s="19" t="n">
        <f aca="false">J26+K17-K11+K20</f>
        <v>5572.74711397661</v>
      </c>
      <c r="L26" s="19" t="n">
        <f aca="false">K26+L17-L11+L20</f>
        <v>5735.76661181326</v>
      </c>
      <c r="M26" s="19" t="n">
        <f aca="false">L26+M17-M11+M20</f>
        <v>5861.7596190326</v>
      </c>
    </row>
    <row r="27" customFormat="false" ht="15" hidden="false" customHeight="false" outlineLevel="0" collapsed="false">
      <c r="A27" s="7" t="s">
        <v>97</v>
      </c>
      <c r="B27" s="29" t="n">
        <f aca="false">$B$26/Inputs!$B$5</f>
        <v>1.08267647058824</v>
      </c>
      <c r="D27" s="29" t="n">
        <f aca="false">D26/D5</f>
        <v>1.08190900082931</v>
      </c>
      <c r="E27" s="29" t="n">
        <f aca="false">E26/E5</f>
        <v>1.07869550398643</v>
      </c>
      <c r="F27" s="29" t="n">
        <f aca="false">F26/F5</f>
        <v>1.07549294271861</v>
      </c>
      <c r="G27" s="29" t="n">
        <f aca="false">G26/G5</f>
        <v>1.07230127981193</v>
      </c>
      <c r="H27" s="29" t="n">
        <f aca="false">H26/H5</f>
        <v>1.06912047817912</v>
      </c>
      <c r="I27" s="29" t="n">
        <f aca="false">I26/I5</f>
        <v>1.06595050085912</v>
      </c>
      <c r="J27" s="29" t="n">
        <f aca="false">J26/J5</f>
        <v>1.06279131101662</v>
      </c>
      <c r="K27" s="29" t="n">
        <f aca="false">K26/K5</f>
        <v>1.0596428719417</v>
      </c>
      <c r="L27" s="29" t="n">
        <f aca="false">L26/L5</f>
        <v>1.05650514704933</v>
      </c>
      <c r="M27" s="29" t="n">
        <f aca="false">M26/M5</f>
        <v>1.05337809987902</v>
      </c>
      <c r="O27" s="5" t="s">
        <v>98</v>
      </c>
    </row>
    <row r="29" customFormat="false" ht="15" hidden="false" customHeight="false" outlineLevel="0" collapsed="false">
      <c r="A29" s="6" t="s">
        <v>99</v>
      </c>
    </row>
    <row r="30" customFormat="false" ht="15" hidden="false" customHeight="false" outlineLevel="0" collapsed="false">
      <c r="A30" s="7" t="s">
        <v>100</v>
      </c>
      <c r="B30" s="19" t="n">
        <f aca="false">M5*(1+Inputs!$B$13)</f>
        <v>5703.84329254471</v>
      </c>
    </row>
    <row r="31" customFormat="false" ht="15" hidden="false" customHeight="false" outlineLevel="0" collapsed="false">
      <c r="A31" s="7" t="s">
        <v>101</v>
      </c>
      <c r="B31" s="19" t="n">
        <f aca="false">M26-Inputs!$B$10*M5</f>
        <v>5096.05343654075</v>
      </c>
    </row>
    <row r="32" customFormat="false" ht="15" hidden="false" customHeight="false" outlineLevel="0" collapsed="false">
      <c r="A32" s="7" t="s">
        <v>102</v>
      </c>
      <c r="B32" s="30" t="n">
        <f aca="false">Inputs!$B$8+Inputs!$B$13*$B$31/M5</f>
        <v>0.0958944524969754</v>
      </c>
      <c r="C32" s="5" t="s">
        <v>103</v>
      </c>
    </row>
    <row r="33" customFormat="false" ht="15" hidden="false" customHeight="false" outlineLevel="0" collapsed="false">
      <c r="A33" s="7" t="s">
        <v>104</v>
      </c>
      <c r="B33" s="19" t="n">
        <f aca="false">$B$30*(M7*(1-M9)+Inputs!$B$8-$B$32-Inputs!$B$13*Inputs!$B$10)</f>
        <v>453.544222278147</v>
      </c>
    </row>
    <row r="34" customFormat="false" ht="15" hidden="false" customHeight="false" outlineLevel="0" collapsed="false">
      <c r="A34" s="7" t="s">
        <v>105</v>
      </c>
      <c r="B34" s="19" t="n">
        <f aca="false">$B$33/(Inputs!$B$12-Inputs!$B$13)</f>
        <v>7112.01174946372</v>
      </c>
    </row>
    <row r="35" customFormat="false" ht="15" hidden="false" customHeight="false" outlineLevel="0" collapsed="false">
      <c r="A35" s="7" t="s">
        <v>106</v>
      </c>
      <c r="B35" s="19" t="n">
        <f aca="false">$B$34/(1+Inputs!$B$12)^(Inputs!$B$6+10)</f>
        <v>2948.89900547336</v>
      </c>
    </row>
    <row r="36" customFormat="false" ht="15" hidden="false" customHeight="false" outlineLevel="0" collapsed="false">
      <c r="A36" s="7" t="s">
        <v>107</v>
      </c>
      <c r="B36" s="19" t="n">
        <f aca="false">$B$30*M7*(1-M9)</f>
        <v>603.751812515857</v>
      </c>
    </row>
    <row r="37" customFormat="false" ht="15" hidden="false" customHeight="false" outlineLevel="0" collapsed="false">
      <c r="A37" s="4" t="s">
        <v>108</v>
      </c>
      <c r="B37" s="31" t="n">
        <f aca="false">$B$36/M26</f>
        <v>0.10299839156753</v>
      </c>
    </row>
    <row r="38" customFormat="false" ht="15" hidden="false" customHeight="false" outlineLevel="0" collapsed="false">
      <c r="A38" s="4" t="s">
        <v>109</v>
      </c>
      <c r="B38" s="32" t="n">
        <f aca="false">$B$37/Inputs!$B$12</f>
        <v>1.16026314068283</v>
      </c>
      <c r="C38" s="5" t="s">
        <v>110</v>
      </c>
    </row>
    <row r="40" customFormat="false" ht="15" hidden="false" customHeight="false" outlineLevel="0" collapsed="false">
      <c r="A40" s="6" t="s">
        <v>111</v>
      </c>
    </row>
    <row r="41" customFormat="false" ht="15" hidden="false" customHeight="false" outlineLevel="0" collapsed="false">
      <c r="A41" s="7" t="s">
        <v>112</v>
      </c>
      <c r="B41" s="19" t="n">
        <f aca="false">SUM(C23:M23)</f>
        <v>1875.61149686845</v>
      </c>
    </row>
    <row r="42" customFormat="false" ht="15" hidden="false" customHeight="false" outlineLevel="0" collapsed="false">
      <c r="A42" s="7" t="s">
        <v>113</v>
      </c>
      <c r="B42" s="19" t="n">
        <f aca="false">$B$41+$B$35</f>
        <v>4824.51050234181</v>
      </c>
    </row>
    <row r="43" customFormat="false" ht="15" hidden="false" customHeight="false" outlineLevel="0" collapsed="false">
      <c r="A43" s="7" t="s">
        <v>114</v>
      </c>
      <c r="B43" s="29" t="n">
        <f aca="false">$B$35/$B$42</f>
        <v>0.611232788081189</v>
      </c>
      <c r="C43" s="5" t="s">
        <v>115</v>
      </c>
    </row>
    <row r="44" customFormat="false" ht="15" hidden="false" customHeight="false" outlineLevel="0" collapsed="false">
      <c r="A44" s="7" t="s">
        <v>116</v>
      </c>
      <c r="B44" s="19" t="n">
        <f aca="false">-Inputs!$B$23</f>
        <v>-1224.03287671233</v>
      </c>
    </row>
    <row r="45" customFormat="false" ht="15" hidden="false" customHeight="false" outlineLevel="0" collapsed="false">
      <c r="A45" s="7" t="s">
        <v>117</v>
      </c>
      <c r="B45" s="19" t="n">
        <f aca="false">-Inputs!$B$24</f>
        <v>-151.65</v>
      </c>
    </row>
    <row r="46" customFormat="false" ht="15" hidden="false" customHeight="false" outlineLevel="0" collapsed="false">
      <c r="A46" s="7" t="s">
        <v>118</v>
      </c>
      <c r="B46" s="19" t="n">
        <f aca="false">-Inputs!$B$25</f>
        <v>-194.3</v>
      </c>
    </row>
    <row r="47" customFormat="false" ht="15" hidden="false" customHeight="false" outlineLevel="0" collapsed="false">
      <c r="A47" s="4" t="s">
        <v>119</v>
      </c>
      <c r="B47" s="21" t="n">
        <f aca="false">$B$42+SUM($B$44:$B$46)</f>
        <v>3254.52762562948</v>
      </c>
    </row>
    <row r="48" customFormat="false" ht="15" hidden="false" customHeight="false" outlineLevel="0" collapsed="false">
      <c r="A48" s="6" t="s">
        <v>120</v>
      </c>
      <c r="B48" s="33" t="n">
        <f aca="false">$B$47/Inputs!$B$26</f>
        <v>1.83871617267202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13" min="2" style="0" width="11"/>
  </cols>
  <sheetData>
    <row r="1" customFormat="false" ht="17.35" hidden="false" customHeight="false" outlineLevel="0" collapsed="false">
      <c r="A1" s="1" t="s">
        <v>133</v>
      </c>
    </row>
    <row r="2" customFormat="false" ht="27.75" hidden="false" customHeight="true" outlineLevel="0" collapsed="false">
      <c r="A2" s="15" t="s">
        <v>14</v>
      </c>
    </row>
    <row r="4" customFormat="false" ht="15" hidden="false" customHeight="false" outlineLevel="0" collapsed="false">
      <c r="A4" s="16" t="s">
        <v>78</v>
      </c>
      <c r="B4" s="17"/>
      <c r="C4" s="18" t="s">
        <v>79</v>
      </c>
      <c r="D4" s="18" t="s">
        <v>60</v>
      </c>
      <c r="E4" s="18" t="s">
        <v>61</v>
      </c>
      <c r="F4" s="18" t="s">
        <v>62</v>
      </c>
      <c r="G4" s="18" t="s">
        <v>63</v>
      </c>
      <c r="H4" s="18" t="s">
        <v>64</v>
      </c>
      <c r="I4" s="18" t="s">
        <v>65</v>
      </c>
      <c r="J4" s="18" t="s">
        <v>66</v>
      </c>
      <c r="K4" s="18" t="s">
        <v>67</v>
      </c>
      <c r="L4" s="18" t="s">
        <v>68</v>
      </c>
      <c r="M4" s="18" t="s">
        <v>69</v>
      </c>
    </row>
    <row r="5" customFormat="false" ht="15" hidden="false" customHeight="false" outlineLevel="0" collapsed="false">
      <c r="A5" s="7" t="s">
        <v>80</v>
      </c>
      <c r="C5" s="19" t="n">
        <f aca="false">Inputs!$B$5*Inputs!$B$6</f>
        <v>1193.4</v>
      </c>
      <c r="D5" s="19" t="n">
        <f aca="false">Inputs!$B$5*(1+Inputs!C$30)</f>
        <v>3609.26617925</v>
      </c>
      <c r="E5" s="19" t="n">
        <f aca="false">D5*(1+Inputs!D$30)</f>
        <v>3831.41245666997</v>
      </c>
      <c r="F5" s="19" t="n">
        <f aca="false">E5*(1+Inputs!E$30)</f>
        <v>4067.23158782826</v>
      </c>
      <c r="G5" s="19" t="n">
        <f aca="false">F5*(1+Inputs!F$30)</f>
        <v>4317.56512150759</v>
      </c>
      <c r="H5" s="19" t="n">
        <f aca="false">G5*(1+Inputs!G$30)</f>
        <v>4583.30640287258</v>
      </c>
      <c r="I5" s="19" t="n">
        <f aca="false">H5*(1+Inputs!H$30)</f>
        <v>4831.90082177193</v>
      </c>
      <c r="J5" s="19" t="n">
        <f aca="false">I5*(1+Inputs!I$30)</f>
        <v>5058.65866942856</v>
      </c>
      <c r="K5" s="19" t="n">
        <f aca="false">J5*(1+Inputs!J$30)</f>
        <v>5259.08045204425</v>
      </c>
      <c r="L5" s="19" t="n">
        <f aca="false">K5*(1+Inputs!K$30)</f>
        <v>5429.00015947147</v>
      </c>
      <c r="M5" s="19" t="n">
        <f aca="false">L5*(1+Inputs!L$30)</f>
        <v>5564.72516345825</v>
      </c>
    </row>
    <row r="6" customFormat="false" ht="15" hidden="false" customHeight="false" outlineLevel="0" collapsed="false">
      <c r="A6" s="7" t="s">
        <v>81</v>
      </c>
      <c r="C6" s="19" t="n">
        <f aca="false">Inputs!$B$5*(1+Inputs!$C$30)^Inputs!$B$6</f>
        <v>3472.0330877427</v>
      </c>
      <c r="D6" s="19" t="n">
        <f aca="false">D5</f>
        <v>3609.26617925</v>
      </c>
      <c r="E6" s="19" t="n">
        <f aca="false">E5</f>
        <v>3831.41245666997</v>
      </c>
      <c r="F6" s="19" t="n">
        <f aca="false">F5</f>
        <v>4067.23158782826</v>
      </c>
      <c r="G6" s="19" t="n">
        <f aca="false">G5</f>
        <v>4317.56512150759</v>
      </c>
      <c r="H6" s="19" t="n">
        <f aca="false">H5</f>
        <v>4583.30640287258</v>
      </c>
      <c r="I6" s="19" t="n">
        <f aca="false">I5</f>
        <v>4831.90082177193</v>
      </c>
      <c r="J6" s="19" t="n">
        <f aca="false">J5</f>
        <v>5058.65866942856</v>
      </c>
      <c r="K6" s="19" t="n">
        <f aca="false">K5</f>
        <v>5259.08045204425</v>
      </c>
      <c r="L6" s="19" t="n">
        <f aca="false">L5</f>
        <v>5429.00015947147</v>
      </c>
      <c r="M6" s="19" t="n">
        <f aca="false">M5</f>
        <v>5564.72516345825</v>
      </c>
    </row>
    <row r="7" customFormat="false" ht="15" hidden="false" customHeight="false" outlineLevel="0" collapsed="false">
      <c r="A7" s="7" t="s">
        <v>82</v>
      </c>
      <c r="C7" s="20" t="n">
        <f aca="false">Inputs!$B$7</f>
        <v>0.141</v>
      </c>
      <c r="D7" s="20" t="n">
        <f aca="false">Inputs!$B$7+Inputs!C$31</f>
        <v>0.14625</v>
      </c>
      <c r="E7" s="20" t="n">
        <f aca="false">Inputs!$B$7+Inputs!D$31</f>
        <v>0.1545</v>
      </c>
      <c r="F7" s="20" t="n">
        <f aca="false">Inputs!$B$7+Inputs!E$31</f>
        <v>0.152</v>
      </c>
      <c r="G7" s="20" t="n">
        <f aca="false">Inputs!$B$7+Inputs!F$31</f>
        <v>0.14825</v>
      </c>
      <c r="H7" s="20" t="n">
        <f aca="false">Inputs!$B$7+Inputs!G$31</f>
        <v>0.14675</v>
      </c>
      <c r="I7" s="20" t="n">
        <f aca="false">Inputs!$B$7+Inputs!H$31</f>
        <v>0.146</v>
      </c>
      <c r="J7" s="20" t="n">
        <f aca="false">Inputs!$B$7+Inputs!I$31</f>
        <v>0.146</v>
      </c>
      <c r="K7" s="20" t="n">
        <f aca="false">Inputs!$B$7+Inputs!J$31</f>
        <v>0.146</v>
      </c>
      <c r="L7" s="20" t="n">
        <f aca="false">Inputs!$B$7+Inputs!K$31</f>
        <v>0.146</v>
      </c>
      <c r="M7" s="20" t="n">
        <f aca="false">Inputs!$B$7+Inputs!L$31</f>
        <v>0.146</v>
      </c>
    </row>
    <row r="8" customFormat="false" ht="15" hidden="false" customHeight="false" outlineLevel="0" collapsed="false">
      <c r="A8" s="7" t="s">
        <v>83</v>
      </c>
      <c r="C8" s="19" t="n">
        <f aca="false">C5*C7</f>
        <v>168.2694</v>
      </c>
      <c r="D8" s="19" t="n">
        <f aca="false">D5*D7</f>
        <v>527.855178715313</v>
      </c>
      <c r="E8" s="19" t="n">
        <f aca="false">E5*E7</f>
        <v>591.95322455551</v>
      </c>
      <c r="F8" s="19" t="n">
        <f aca="false">F5*F7</f>
        <v>618.219201349895</v>
      </c>
      <c r="G8" s="19" t="n">
        <f aca="false">G5*G7</f>
        <v>640.0790292635</v>
      </c>
      <c r="H8" s="19" t="n">
        <f aca="false">H5*H7</f>
        <v>672.600214621551</v>
      </c>
      <c r="I8" s="19" t="n">
        <f aca="false">I5*I7</f>
        <v>705.457519978702</v>
      </c>
      <c r="J8" s="19" t="n">
        <f aca="false">J5*J7</f>
        <v>738.564165736569</v>
      </c>
      <c r="K8" s="19" t="n">
        <f aca="false">K5*K7</f>
        <v>767.82574599846</v>
      </c>
      <c r="L8" s="19" t="n">
        <f aca="false">L5*L7</f>
        <v>792.634023282834</v>
      </c>
      <c r="M8" s="19" t="n">
        <f aca="false">M5*M7</f>
        <v>812.449873864905</v>
      </c>
    </row>
    <row r="9" customFormat="false" ht="15" hidden="false" customHeight="false" outlineLevel="0" collapsed="false">
      <c r="A9" s="7" t="s">
        <v>74</v>
      </c>
      <c r="C9" s="20" t="n">
        <f aca="false">Inputs!$B$11</f>
        <v>0.225</v>
      </c>
      <c r="D9" s="20" t="n">
        <f aca="false">Inputs!C$32</f>
        <v>0.225</v>
      </c>
      <c r="E9" s="20" t="n">
        <f aca="false">Inputs!D$32</f>
        <v>0.2375</v>
      </c>
      <c r="F9" s="20" t="n">
        <f aca="false">Inputs!E$32</f>
        <v>0.25</v>
      </c>
      <c r="G9" s="20" t="n">
        <f aca="false">Inputs!F$32</f>
        <v>0.2625</v>
      </c>
      <c r="H9" s="20" t="n">
        <f aca="false">Inputs!G$32</f>
        <v>0.275</v>
      </c>
      <c r="I9" s="20" t="n">
        <f aca="false">Inputs!H$32</f>
        <v>0.275</v>
      </c>
      <c r="J9" s="20" t="n">
        <f aca="false">Inputs!I$32</f>
        <v>0.275</v>
      </c>
      <c r="K9" s="20" t="n">
        <f aca="false">Inputs!J$32</f>
        <v>0.275</v>
      </c>
      <c r="L9" s="20" t="n">
        <f aca="false">Inputs!K$32</f>
        <v>0.275</v>
      </c>
      <c r="M9" s="20" t="n">
        <f aca="false">Inputs!L$32</f>
        <v>0.275</v>
      </c>
    </row>
    <row r="10" customFormat="false" ht="15" hidden="false" customHeight="false" outlineLevel="0" collapsed="false">
      <c r="A10" s="4" t="s">
        <v>84</v>
      </c>
      <c r="C10" s="21" t="n">
        <f aca="false">C8*(1-C9)</f>
        <v>130.408785</v>
      </c>
      <c r="D10" s="21" t="n">
        <f aca="false">D8*(1-D9)</f>
        <v>409.087763504367</v>
      </c>
      <c r="E10" s="21" t="n">
        <f aca="false">E8*(1-E9)</f>
        <v>451.364333723576</v>
      </c>
      <c r="F10" s="21" t="n">
        <f aca="false">F8*(1-F9)</f>
        <v>463.664401012421</v>
      </c>
      <c r="G10" s="21" t="n">
        <f aca="false">G8*(1-G9)</f>
        <v>472.058284081831</v>
      </c>
      <c r="H10" s="21" t="n">
        <f aca="false">H8*(1-H9)</f>
        <v>487.635155600624</v>
      </c>
      <c r="I10" s="21" t="n">
        <f aca="false">I8*(1-I9)</f>
        <v>511.456701984559</v>
      </c>
      <c r="J10" s="21" t="n">
        <f aca="false">J8*(1-J9)</f>
        <v>535.459020159013</v>
      </c>
      <c r="K10" s="21" t="n">
        <f aca="false">K8*(1-K9)</f>
        <v>556.673665848883</v>
      </c>
      <c r="L10" s="21" t="n">
        <f aca="false">L8*(1-L9)</f>
        <v>574.659666880055</v>
      </c>
      <c r="M10" s="21" t="n">
        <f aca="false">M8*(1-M9)</f>
        <v>589.026158552056</v>
      </c>
    </row>
    <row r="11" customFormat="false" ht="15" hidden="false" customHeight="false" outlineLevel="0" collapsed="false">
      <c r="A11" s="7" t="s">
        <v>85</v>
      </c>
      <c r="C11" s="19" t="n">
        <f aca="false">C5*Inputs!$B$8</f>
        <v>87.1182</v>
      </c>
      <c r="D11" s="19" t="n">
        <f aca="false">D5*Inputs!$B$8</f>
        <v>263.47643108525</v>
      </c>
      <c r="E11" s="19" t="n">
        <f aca="false">E5*Inputs!$B$8</f>
        <v>279.693109336908</v>
      </c>
      <c r="F11" s="19" t="n">
        <f aca="false">F5*Inputs!$B$8</f>
        <v>296.907905911463</v>
      </c>
      <c r="G11" s="19" t="n">
        <f aca="false">G5*Inputs!$B$8</f>
        <v>315.182253870054</v>
      </c>
      <c r="H11" s="19" t="n">
        <f aca="false">H5*Inputs!$B$8</f>
        <v>334.581367409698</v>
      </c>
      <c r="I11" s="19" t="n">
        <f aca="false">I5*Inputs!$B$8</f>
        <v>352.728759989351</v>
      </c>
      <c r="J11" s="19" t="n">
        <f aca="false">J5*Inputs!$B$8</f>
        <v>369.282082868285</v>
      </c>
      <c r="K11" s="19" t="n">
        <f aca="false">K5*Inputs!$B$8</f>
        <v>383.91287299923</v>
      </c>
      <c r="L11" s="19" t="n">
        <f aca="false">L5*Inputs!$B$8</f>
        <v>396.317011641417</v>
      </c>
      <c r="M11" s="19" t="n">
        <f aca="false">M5*Inputs!$B$8</f>
        <v>406.224936932452</v>
      </c>
    </row>
    <row r="13" customFormat="false" ht="15" hidden="false" customHeight="false" outlineLevel="0" collapsed="false">
      <c r="A13" s="22" t="s">
        <v>86</v>
      </c>
      <c r="B13" s="23"/>
      <c r="C13" s="23"/>
      <c r="D13" s="23"/>
      <c r="E13" s="23"/>
      <c r="F13" s="23"/>
      <c r="G13" s="23"/>
      <c r="H13" s="23"/>
      <c r="I13" s="23"/>
      <c r="J13" s="23"/>
      <c r="K13" s="23"/>
      <c r="L13" s="23"/>
      <c r="M13" s="23"/>
    </row>
    <row r="14" customFormat="false" ht="15" hidden="false" customHeight="false" outlineLevel="0" collapsed="false">
      <c r="A14" s="7" t="s">
        <v>122</v>
      </c>
      <c r="B14" s="19" t="n">
        <f aca="false">Inputs!$B$14-Inputs!$B$10*Inputs!$B$5</f>
        <v>3213.26</v>
      </c>
      <c r="C14" s="5" t="s">
        <v>123</v>
      </c>
    </row>
    <row r="15" customFormat="false" ht="15" hidden="false" customHeight="false" outlineLevel="0" collapsed="false">
      <c r="A15" s="7" t="s">
        <v>134</v>
      </c>
      <c r="D15" s="34" t="n">
        <f aca="false">(1+Inputs!$B$18)*(1+Inputs!$B$20)-1</f>
        <v>0.0585687500000001</v>
      </c>
      <c r="E15" s="34" t="n">
        <f aca="false">(1+Inputs!$B$18)*(1+Inputs!$B$20)-1</f>
        <v>0.0585687500000001</v>
      </c>
      <c r="F15" s="34" t="n">
        <f aca="false">(1+Inputs!$B$18)*(1+Inputs!$B$20)-1</f>
        <v>0.0585687500000001</v>
      </c>
      <c r="G15" s="34" t="n">
        <f aca="false">(1+Inputs!$B$18)*(1+Inputs!$B$20)-1</f>
        <v>0.0585687500000001</v>
      </c>
      <c r="H15" s="34" t="n">
        <f aca="false">(1+Inputs!$B$18)*(1+Inputs!$B$20)-1</f>
        <v>0.0585687500000001</v>
      </c>
      <c r="I15" s="34" t="n">
        <f aca="false">(1+Inputs!$B$18)*(1+Inputs!$B$20)-1</f>
        <v>0.0585687500000001</v>
      </c>
      <c r="J15" s="34" t="n">
        <f aca="false">(1+Inputs!$B$18)*(1+Inputs!$B$20)-1</f>
        <v>0.0585687500000001</v>
      </c>
      <c r="K15" s="34" t="n">
        <f aca="false">(1+Inputs!$B$18)*(1+Inputs!$B$20)-1</f>
        <v>0.0585687500000001</v>
      </c>
      <c r="L15" s="34" t="n">
        <f aca="false">(1+Inputs!$B$18)*(1+Inputs!$B$20)-1</f>
        <v>0.0585687500000001</v>
      </c>
      <c r="M15" s="34" t="n">
        <f aca="false">(1+Inputs!$B$18)*(1+Inputs!$B$20)-1</f>
        <v>0.0585687500000001</v>
      </c>
    </row>
    <row r="16" customFormat="false" ht="15" hidden="false" customHeight="false" outlineLevel="0" collapsed="false">
      <c r="A16" s="7" t="s">
        <v>127</v>
      </c>
      <c r="C16" s="19" t="n">
        <f aca="false">$B$14+C5*(Inputs!$B$9-Inputs!$B$8)</f>
        <v>3221.6138</v>
      </c>
      <c r="D16" s="19" t="n">
        <f aca="false">C16*(1+D15)</f>
        <v>3410.29969324875</v>
      </c>
      <c r="E16" s="19" t="n">
        <f aca="false">D16*(1+E15)</f>
        <v>3610.03668340771</v>
      </c>
      <c r="F16" s="19" t="n">
        <f aca="false">E16*(1+F15)</f>
        <v>3821.47201940905</v>
      </c>
      <c r="G16" s="19" t="n">
        <f aca="false">F16*(1+G15)</f>
        <v>4045.29085874581</v>
      </c>
      <c r="H16" s="19" t="n">
        <f aca="false">G16*(1+H15)</f>
        <v>4282.21848772898</v>
      </c>
      <c r="I16" s="19" t="n">
        <f aca="false">H16*(1+I15)</f>
        <v>4533.02267178216</v>
      </c>
      <c r="J16" s="19" t="n">
        <f aca="false">I16*(1+J15)</f>
        <v>4798.5161433901</v>
      </c>
      <c r="K16" s="19" t="n">
        <f aca="false">J16*(1+K15)</f>
        <v>5079.55923576328</v>
      </c>
      <c r="L16" s="19" t="n">
        <f aca="false">K16*(1+L15)</f>
        <v>5377.06267075289</v>
      </c>
      <c r="M16" s="19" t="n">
        <f aca="false">L16*(1+M15)</f>
        <v>5691.99051005055</v>
      </c>
    </row>
    <row r="17" customFormat="false" ht="15" hidden="false" customHeight="false" outlineLevel="0" collapsed="false">
      <c r="A17" s="7" t="s">
        <v>90</v>
      </c>
      <c r="C17" s="19" t="n">
        <f aca="false">C5*Inputs!$B$9</f>
        <v>95.472</v>
      </c>
      <c r="D17" s="19" t="n">
        <f aca="false">D16-C16+D5*Inputs!$B$8</f>
        <v>452.162324334</v>
      </c>
      <c r="E17" s="19" t="n">
        <f aca="false">E16-D16+E5*Inputs!$B$8</f>
        <v>479.43009949587</v>
      </c>
      <c r="F17" s="19" t="n">
        <f aca="false">F16-E16+F5*Inputs!$B$8</f>
        <v>508.343241912798</v>
      </c>
      <c r="G17" s="19" t="n">
        <f aca="false">G16-F16+G5*Inputs!$B$8</f>
        <v>539.001093206818</v>
      </c>
      <c r="H17" s="19" t="n">
        <f aca="false">H16-G16+H5*Inputs!$B$8</f>
        <v>571.508996392867</v>
      </c>
      <c r="I17" s="19" t="n">
        <f aca="false">I16-H16+I5*Inputs!$B$8</f>
        <v>603.532944042528</v>
      </c>
      <c r="J17" s="19" t="n">
        <f aca="false">J16-I16+J5*Inputs!$B$8</f>
        <v>634.775554476226</v>
      </c>
      <c r="K17" s="19" t="n">
        <f aca="false">K16-J16+K5*Inputs!$B$8</f>
        <v>664.955965372409</v>
      </c>
      <c r="L17" s="19" t="n">
        <f aca="false">L16-K16+L5*Inputs!$B$8</f>
        <v>693.820446631027</v>
      </c>
      <c r="M17" s="19" t="n">
        <f aca="false">M16-L16+M5*Inputs!$B$8</f>
        <v>721.152776230111</v>
      </c>
      <c r="O17" s="5" t="s">
        <v>128</v>
      </c>
    </row>
    <row r="18" customFormat="false" ht="15" hidden="false" customHeight="false" outlineLevel="0" collapsed="false">
      <c r="A18" s="7" t="s">
        <v>129</v>
      </c>
      <c r="C18" s="20" t="n">
        <f aca="false">C17/C5</f>
        <v>0.08</v>
      </c>
      <c r="D18" s="20" t="n">
        <f aca="false">D17/D5</f>
        <v>0.125278187276273</v>
      </c>
      <c r="E18" s="20" t="n">
        <f aca="false">E17/E5</f>
        <v>0.125131424746831</v>
      </c>
      <c r="F18" s="20" t="n">
        <f aca="false">F17/F5</f>
        <v>0.124985074229381</v>
      </c>
      <c r="G18" s="20" t="n">
        <f aca="false">G17/G5</f>
        <v>0.124839134567266</v>
      </c>
      <c r="H18" s="20" t="n">
        <f aca="false">H17/H5</f>
        <v>0.124693604607075</v>
      </c>
      <c r="I18" s="20" t="n">
        <f aca="false">I17/I5</f>
        <v>0.124905904799015</v>
      </c>
      <c r="J18" s="20" t="n">
        <f aca="false">J17/J5</f>
        <v>0.125482977990277</v>
      </c>
      <c r="K18" s="20" t="n">
        <f aca="false">K17/K5</f>
        <v>0.12643958795381</v>
      </c>
      <c r="L18" s="20" t="n">
        <f aca="false">L17/L5</f>
        <v>0.127798936498571</v>
      </c>
      <c r="M18" s="20" t="n">
        <f aca="false">M17/M5</f>
        <v>0.1295936016689</v>
      </c>
    </row>
    <row r="20" customFormat="false" ht="15" hidden="false" customHeight="false" outlineLevel="0" collapsed="false">
      <c r="A20" s="7" t="s">
        <v>91</v>
      </c>
      <c r="C20" s="19" t="n">
        <f aca="false">Inputs!$B$10*(C6-Inputs!$B$5)</f>
        <v>9.91175287339496</v>
      </c>
      <c r="D20" s="19" t="n">
        <f aca="false">Inputs!$B$10*(D5-C6)</f>
        <v>18.8832733914051</v>
      </c>
      <c r="E20" s="19" t="n">
        <f aca="false">Inputs!$B$10*(E5-D5)</f>
        <v>30.5673277729877</v>
      </c>
      <c r="F20" s="19" t="n">
        <f aca="false">Inputs!$B$10*(F5-E5)</f>
        <v>32.4487124473805</v>
      </c>
      <c r="G20" s="19" t="n">
        <f aca="false">Inputs!$B$10*(G5-F5)</f>
        <v>34.4458942342762</v>
      </c>
      <c r="H20" s="19" t="n">
        <f aca="false">Inputs!$B$10*(H5-G5)</f>
        <v>36.5660003158222</v>
      </c>
      <c r="I20" s="19" t="n">
        <f aca="false">Inputs!$B$10*(I5-H5)</f>
        <v>34.2065920405509</v>
      </c>
      <c r="J20" s="19" t="n">
        <f aca="false">Inputs!$B$10*(J5-I5)</f>
        <v>31.201879837552</v>
      </c>
      <c r="K20" s="19" t="n">
        <f aca="false">Inputs!$B$10*(K5-J5)</f>
        <v>27.5780372879187</v>
      </c>
      <c r="L20" s="19" t="n">
        <f aca="false">Inputs!$B$10*(L5-K5)</f>
        <v>23.3809517419853</v>
      </c>
      <c r="M20" s="19" t="n">
        <f aca="false">Inputs!$B$10*(M5-L5)</f>
        <v>18.6757605485817</v>
      </c>
    </row>
    <row r="21" customFormat="false" ht="15" hidden="false" customHeight="false" outlineLevel="0" collapsed="false">
      <c r="A21" s="16" t="s">
        <v>92</v>
      </c>
      <c r="B21" s="17"/>
      <c r="C21" s="26" t="n">
        <f aca="false">C10+C11-C17-C20</f>
        <v>112.143232126605</v>
      </c>
      <c r="D21" s="26" t="n">
        <f aca="false">D10+D11-D17-D20</f>
        <v>201.518596864212</v>
      </c>
      <c r="E21" s="26" t="n">
        <f aca="false">E10+E11-E17-E20</f>
        <v>221.060015791626</v>
      </c>
      <c r="F21" s="26" t="n">
        <f aca="false">F10+F11-F17-F20</f>
        <v>219.780352563705</v>
      </c>
      <c r="G21" s="26" t="n">
        <f aca="false">G10+G11-G17-G20</f>
        <v>213.793550510791</v>
      </c>
      <c r="H21" s="26" t="n">
        <f aca="false">H10+H11-H17-H20</f>
        <v>214.141526301633</v>
      </c>
      <c r="I21" s="26" t="n">
        <f aca="false">I10+I11-I17-I20</f>
        <v>226.445925890831</v>
      </c>
      <c r="J21" s="26" t="n">
        <f aca="false">J10+J11-J17-J20</f>
        <v>238.763668713519</v>
      </c>
      <c r="K21" s="26" t="n">
        <f aca="false">K10+K11-K17-K20</f>
        <v>248.052536187786</v>
      </c>
      <c r="L21" s="26" t="n">
        <f aca="false">L10+L11-L17-L20</f>
        <v>253.775280148459</v>
      </c>
      <c r="M21" s="26" t="n">
        <f aca="false">M10+M11-M17-M20</f>
        <v>255.422558705816</v>
      </c>
    </row>
    <row r="22" customFormat="false" ht="15" hidden="false" customHeight="false" outlineLevel="0" collapsed="false">
      <c r="A22" s="7" t="s">
        <v>93</v>
      </c>
      <c r="C22" s="27" t="n">
        <f aca="false">Inputs!$B$6/2</f>
        <v>0.1755</v>
      </c>
      <c r="D22" s="27" t="n">
        <f aca="false">Inputs!$B$6+1-0.5</f>
        <v>0.851</v>
      </c>
      <c r="E22" s="27" t="n">
        <f aca="false">Inputs!$B$6+2-0.5</f>
        <v>1.851</v>
      </c>
      <c r="F22" s="27" t="n">
        <f aca="false">Inputs!$B$6+3-0.5</f>
        <v>2.851</v>
      </c>
      <c r="G22" s="27" t="n">
        <f aca="false">Inputs!$B$6+4-0.5</f>
        <v>3.851</v>
      </c>
      <c r="H22" s="27" t="n">
        <f aca="false">Inputs!$B$6+5-0.5</f>
        <v>4.851</v>
      </c>
      <c r="I22" s="27" t="n">
        <f aca="false">Inputs!$B$6+6-0.5</f>
        <v>5.851</v>
      </c>
      <c r="J22" s="27" t="n">
        <f aca="false">Inputs!$B$6+7-0.5</f>
        <v>6.851</v>
      </c>
      <c r="K22" s="27" t="n">
        <f aca="false">Inputs!$B$6+8-0.5</f>
        <v>7.851</v>
      </c>
      <c r="L22" s="27" t="n">
        <f aca="false">Inputs!$B$6+9-0.5</f>
        <v>8.851</v>
      </c>
      <c r="M22" s="27" t="n">
        <f aca="false">Inputs!$B$6+10-0.5</f>
        <v>9.851</v>
      </c>
    </row>
    <row r="23" customFormat="false" ht="15" hidden="false" customHeight="false" outlineLevel="0" collapsed="false">
      <c r="A23" s="7" t="s">
        <v>94</v>
      </c>
      <c r="C23" s="19" t="n">
        <f aca="false">C21/(1+Inputs!$B$12)^C22</f>
        <v>110.48178053763</v>
      </c>
      <c r="D23" s="19" t="n">
        <f aca="false">D21/(1+Inputs!$B$12)^D22</f>
        <v>187.448484855432</v>
      </c>
      <c r="E23" s="19" t="n">
        <f aca="false">E21/(1+Inputs!$B$12)^E22</f>
        <v>188.860104076364</v>
      </c>
      <c r="F23" s="19" t="n">
        <f aca="false">F21/(1+Inputs!$B$12)^F22</f>
        <v>172.457512606806</v>
      </c>
      <c r="G23" s="19" t="n">
        <f aca="false">G21/(1+Inputs!$B$12)^G22</f>
        <v>154.081705203989</v>
      </c>
      <c r="H23" s="19" t="n">
        <f aca="false">H21/(1+Inputs!$B$12)^H22</f>
        <v>141.749192759022</v>
      </c>
      <c r="I23" s="19" t="n">
        <f aca="false">I21/(1+Inputs!$B$12)^I22</f>
        <v>137.672575232673</v>
      </c>
      <c r="J23" s="19" t="n">
        <f aca="false">J21/(1+Inputs!$B$12)^J22</f>
        <v>133.325859565768</v>
      </c>
      <c r="K23" s="19" t="n">
        <f aca="false">K21/(1+Inputs!$B$12)^K22</f>
        <v>127.21931267145</v>
      </c>
      <c r="L23" s="19" t="n">
        <f aca="false">L21/(1+Inputs!$B$12)^L22</f>
        <v>119.542384152095</v>
      </c>
      <c r="M23" s="19" t="n">
        <f aca="false">M21/(1+Inputs!$B$12)^M22</f>
        <v>110.508344426358</v>
      </c>
    </row>
    <row r="25" customFormat="false" ht="15" hidden="false" customHeight="false" outlineLevel="0" collapsed="false">
      <c r="A25" s="6" t="s">
        <v>95</v>
      </c>
    </row>
    <row r="26" customFormat="false" ht="15" hidden="false" customHeight="false" outlineLevel="0" collapsed="false">
      <c r="A26" s="7" t="s">
        <v>96</v>
      </c>
      <c r="B26" s="28" t="n">
        <f aca="false">Inputs!$B$14</f>
        <v>3681.1</v>
      </c>
      <c r="C26" s="19" t="n">
        <f aca="false">$B$26+C17-C11+C20</f>
        <v>3699.3655528734</v>
      </c>
      <c r="D26" s="19" t="n">
        <f aca="false">C26+D17-D11+D20</f>
        <v>3906.93471951355</v>
      </c>
      <c r="E26" s="19" t="n">
        <f aca="false">D26+E17-E11+E20</f>
        <v>4137.2390374455</v>
      </c>
      <c r="F26" s="19" t="n">
        <f aca="false">E26+F17-F11+F20</f>
        <v>4381.12308589422</v>
      </c>
      <c r="G26" s="19" t="n">
        <f aca="false">F26+G17-G11+G20</f>
        <v>4639.38781946526</v>
      </c>
      <c r="H26" s="19" t="n">
        <f aca="false">G26+H17-H11+H20</f>
        <v>4912.88144876425</v>
      </c>
      <c r="I26" s="19" t="n">
        <f aca="false">H26+I17-I11+I20</f>
        <v>5197.89222485798</v>
      </c>
      <c r="J26" s="19" t="n">
        <f aca="false">I26+J17-J11+J20</f>
        <v>5494.58757630347</v>
      </c>
      <c r="K26" s="19" t="n">
        <f aca="false">J26+K17-K11+K20</f>
        <v>5803.20870596457</v>
      </c>
      <c r="L26" s="19" t="n">
        <f aca="false">K26+L17-L11+L20</f>
        <v>6124.09309269616</v>
      </c>
      <c r="M26" s="19" t="n">
        <f aca="false">L26+M17-M11+M20</f>
        <v>6457.6966925424</v>
      </c>
    </row>
    <row r="27" customFormat="false" ht="15" hidden="false" customHeight="false" outlineLevel="0" collapsed="false">
      <c r="A27" s="7" t="s">
        <v>97</v>
      </c>
      <c r="B27" s="29" t="n">
        <f aca="false">$B$26/Inputs!$B$5</f>
        <v>1.08267647058824</v>
      </c>
      <c r="D27" s="29" t="n">
        <f aca="false">D26/D5</f>
        <v>1.08247342409237</v>
      </c>
      <c r="E27" s="29" t="n">
        <f aca="false">E26/E5</f>
        <v>1.0798208452455</v>
      </c>
      <c r="F27" s="29" t="n">
        <f aca="false">F26/F5</f>
        <v>1.0771757130834</v>
      </c>
      <c r="G27" s="29" t="n">
        <f aca="false">G26/G5</f>
        <v>1.07453800670071</v>
      </c>
      <c r="H27" s="29" t="n">
        <f aca="false">H26/H5</f>
        <v>1.07190770525076</v>
      </c>
      <c r="I27" s="29" t="n">
        <f aca="false">I26/I5</f>
        <v>1.07574480863451</v>
      </c>
      <c r="J27" s="29" t="n">
        <f aca="false">J26/J5</f>
        <v>1.08617480153571</v>
      </c>
      <c r="K27" s="29" t="n">
        <f aca="false">K26/K5</f>
        <v>1.1034645236714</v>
      </c>
      <c r="L27" s="29" t="n">
        <f aca="false">L26/L5</f>
        <v>1.12803332341261</v>
      </c>
      <c r="M27" s="29" t="n">
        <f aca="false">M26/M5</f>
        <v>1.16047001475437</v>
      </c>
      <c r="O27" s="5" t="s">
        <v>98</v>
      </c>
    </row>
    <row r="29" customFormat="false" ht="15" hidden="false" customHeight="false" outlineLevel="0" collapsed="false">
      <c r="A29" s="6" t="s">
        <v>99</v>
      </c>
    </row>
    <row r="30" customFormat="false" ht="15" hidden="false" customHeight="false" outlineLevel="0" collapsed="false">
      <c r="A30" s="7" t="s">
        <v>100</v>
      </c>
      <c r="B30" s="19" t="n">
        <f aca="false">M5*(1+Inputs!$B$13)</f>
        <v>5703.84329254471</v>
      </c>
    </row>
    <row r="31" customFormat="false" ht="15" hidden="false" customHeight="false" outlineLevel="0" collapsed="false">
      <c r="A31" s="7" t="s">
        <v>101</v>
      </c>
      <c r="B31" s="19" t="n">
        <f aca="false">M26-Inputs!$B$10*M5</f>
        <v>5691.99051005055</v>
      </c>
    </row>
    <row r="32" customFormat="false" ht="15" hidden="false" customHeight="false" outlineLevel="0" collapsed="false">
      <c r="A32" s="7" t="s">
        <v>102</v>
      </c>
      <c r="B32" s="30" t="n">
        <f aca="false">Inputs!$B$8+Inputs!$B$13*$B$31/M5</f>
        <v>0.0985717503688592</v>
      </c>
      <c r="C32" s="5" t="s">
        <v>103</v>
      </c>
    </row>
    <row r="33" customFormat="false" ht="15" hidden="false" customHeight="false" outlineLevel="0" collapsed="false">
      <c r="A33" s="7" t="s">
        <v>104</v>
      </c>
      <c r="B33" s="19" t="n">
        <f aca="false">$B$30*(M7*(1-M9)+Inputs!$B$8-$B$32-Inputs!$B$13*Inputs!$B$10)</f>
        <v>438.273334769458</v>
      </c>
    </row>
    <row r="34" customFormat="false" ht="15" hidden="false" customHeight="false" outlineLevel="0" collapsed="false">
      <c r="A34" s="7" t="s">
        <v>105</v>
      </c>
      <c r="B34" s="19" t="n">
        <f aca="false">$B$33/(Inputs!$B$12-Inputs!$B$13)</f>
        <v>6872.54947422845</v>
      </c>
    </row>
    <row r="35" customFormat="false" ht="15" hidden="false" customHeight="false" outlineLevel="0" collapsed="false">
      <c r="A35" s="7" t="s">
        <v>106</v>
      </c>
      <c r="B35" s="19" t="n">
        <f aca="false">$B$34/(1+Inputs!$B$12)^(Inputs!$B$6+10)</f>
        <v>2849.60922781757</v>
      </c>
    </row>
    <row r="36" customFormat="false" ht="15" hidden="false" customHeight="false" outlineLevel="0" collapsed="false">
      <c r="A36" s="7" t="s">
        <v>107</v>
      </c>
      <c r="B36" s="19" t="n">
        <f aca="false">$B$30*M7*(1-M9)</f>
        <v>603.751812515857</v>
      </c>
    </row>
    <row r="37" customFormat="false" ht="15" hidden="false" customHeight="false" outlineLevel="0" collapsed="false">
      <c r="A37" s="4" t="s">
        <v>108</v>
      </c>
      <c r="B37" s="31" t="n">
        <f aca="false">$B$36/M26</f>
        <v>0.0934933678772949</v>
      </c>
    </row>
    <row r="38" customFormat="false" ht="15" hidden="false" customHeight="false" outlineLevel="0" collapsed="false">
      <c r="A38" s="4" t="s">
        <v>109</v>
      </c>
      <c r="B38" s="32" t="n">
        <f aca="false">$B$37/Inputs!$B$12</f>
        <v>1.05319031681386</v>
      </c>
      <c r="C38" s="5" t="s">
        <v>110</v>
      </c>
    </row>
    <row r="40" customFormat="false" ht="15" hidden="false" customHeight="false" outlineLevel="0" collapsed="false">
      <c r="A40" s="6" t="s">
        <v>111</v>
      </c>
    </row>
    <row r="41" customFormat="false" ht="15" hidden="false" customHeight="false" outlineLevel="0" collapsed="false">
      <c r="A41" s="7" t="s">
        <v>112</v>
      </c>
      <c r="B41" s="19" t="n">
        <f aca="false">SUM(C23:M23)</f>
        <v>1583.34725608759</v>
      </c>
    </row>
    <row r="42" customFormat="false" ht="15" hidden="false" customHeight="false" outlineLevel="0" collapsed="false">
      <c r="A42" s="7" t="s">
        <v>113</v>
      </c>
      <c r="B42" s="19" t="n">
        <f aca="false">$B$41+$B$35</f>
        <v>4432.95648390515</v>
      </c>
    </row>
    <row r="43" customFormat="false" ht="15" hidden="false" customHeight="false" outlineLevel="0" collapsed="false">
      <c r="A43" s="7" t="s">
        <v>114</v>
      </c>
      <c r="B43" s="29" t="n">
        <f aca="false">$B$35/$B$42</f>
        <v>0.642823641099053</v>
      </c>
      <c r="C43" s="5" t="s">
        <v>115</v>
      </c>
    </row>
    <row r="44" customFormat="false" ht="15" hidden="false" customHeight="false" outlineLevel="0" collapsed="false">
      <c r="A44" s="7" t="s">
        <v>116</v>
      </c>
      <c r="B44" s="19" t="n">
        <f aca="false">-Inputs!$B$23</f>
        <v>-1224.03287671233</v>
      </c>
    </row>
    <row r="45" customFormat="false" ht="15" hidden="false" customHeight="false" outlineLevel="0" collapsed="false">
      <c r="A45" s="7" t="s">
        <v>117</v>
      </c>
      <c r="B45" s="19" t="n">
        <f aca="false">-Inputs!$B$24</f>
        <v>-151.65</v>
      </c>
    </row>
    <row r="46" customFormat="false" ht="15" hidden="false" customHeight="false" outlineLevel="0" collapsed="false">
      <c r="A46" s="7" t="s">
        <v>118</v>
      </c>
      <c r="B46" s="19" t="n">
        <f aca="false">-Inputs!$B$25</f>
        <v>-194.3</v>
      </c>
    </row>
    <row r="47" customFormat="false" ht="15" hidden="false" customHeight="false" outlineLevel="0" collapsed="false">
      <c r="A47" s="4" t="s">
        <v>119</v>
      </c>
      <c r="B47" s="21" t="n">
        <f aca="false">$B$42+SUM($B$44:$B$46)</f>
        <v>2862.97360719282</v>
      </c>
    </row>
    <row r="48" customFormat="false" ht="15" hidden="false" customHeight="false" outlineLevel="0" collapsed="false">
      <c r="A48" s="6" t="s">
        <v>120</v>
      </c>
      <c r="B48" s="33" t="n">
        <f aca="false">$B$47/Inputs!$B$26</f>
        <v>1.61749921310329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5" min="2" style="0" width="20"/>
  </cols>
  <sheetData>
    <row r="1" customFormat="false" ht="17.35" hidden="false" customHeight="false" outlineLevel="0" collapsed="false">
      <c r="A1" s="1" t="s">
        <v>135</v>
      </c>
    </row>
    <row r="2" customFormat="false" ht="15" hidden="false" customHeight="false" outlineLevel="0" collapsed="false">
      <c r="A2" s="5" t="s">
        <v>136</v>
      </c>
    </row>
    <row r="4" customFormat="false" ht="15" hidden="false" customHeight="false" outlineLevel="0" collapsed="false">
      <c r="A4" s="16"/>
      <c r="B4" s="35" t="s">
        <v>7</v>
      </c>
      <c r="C4" s="35" t="s">
        <v>9</v>
      </c>
      <c r="D4" s="35" t="s">
        <v>11</v>
      </c>
      <c r="E4" s="35" t="s">
        <v>13</v>
      </c>
    </row>
    <row r="5" customFormat="false" ht="15" hidden="false" customHeight="false" outlineLevel="0" collapsed="false">
      <c r="A5" s="7" t="s">
        <v>120</v>
      </c>
      <c r="B5" s="36" t="n">
        <f aca="false">'1 Ruled build'!$B$46</f>
        <v>2.69561686896045</v>
      </c>
      <c r="C5" s="36" t="n">
        <f aca="false">'2 Hold intensity'!$B$49</f>
        <v>1.76756499051477</v>
      </c>
      <c r="D5" s="36" t="n">
        <f aca="false">'3 Volume + inflation'!$B$48</f>
        <v>1.83871617267202</v>
      </c>
      <c r="E5" s="36" t="n">
        <f aca="false">'4 Volume, held flat'!$B$48</f>
        <v>1.61749921310329</v>
      </c>
    </row>
    <row r="7" customFormat="false" ht="15" hidden="false" customHeight="false" outlineLevel="0" collapsed="false">
      <c r="A7" s="7" t="s">
        <v>137</v>
      </c>
      <c r="B7" s="37" t="n">
        <f aca="false">'1 Ruled build'!M25</f>
        <v>0.726191595510594</v>
      </c>
      <c r="C7" s="37" t="n">
        <f aca="false">'2 Hold intensity'!M28</f>
        <v>1.08267647058824</v>
      </c>
      <c r="D7" s="37" t="n">
        <f aca="false">'3 Volume + inflation'!M27</f>
        <v>1.05337809987902</v>
      </c>
      <c r="E7" s="37" t="n">
        <f aca="false">'4 Volume, held flat'!M27</f>
        <v>1.16047001475437</v>
      </c>
      <c r="G7" s="5" t="s">
        <v>138</v>
      </c>
    </row>
    <row r="8" customFormat="false" ht="15" hidden="false" customHeight="false" outlineLevel="0" collapsed="false">
      <c r="A8" s="7" t="s">
        <v>102</v>
      </c>
      <c r="B8" s="38" t="n">
        <f aca="false">'1 Ruled build'!$B$30</f>
        <v>0.0877147898877649</v>
      </c>
      <c r="C8" s="38" t="n">
        <f aca="false">'2 Hold intensity'!$B$33</f>
        <v>0.0966269117647059</v>
      </c>
      <c r="D8" s="38" t="n">
        <f aca="false">'3 Volume + inflation'!$B$32</f>
        <v>0.0958944524969754</v>
      </c>
      <c r="E8" s="38" t="n">
        <f aca="false">'4 Volume, held flat'!$B$32</f>
        <v>0.0985717503688592</v>
      </c>
    </row>
    <row r="9" customFormat="false" ht="15" hidden="false" customHeight="false" outlineLevel="0" collapsed="false">
      <c r="A9" s="7" t="s">
        <v>108</v>
      </c>
      <c r="B9" s="38" t="n">
        <f aca="false">'1 Ruled build'!$B$35</f>
        <v>0.149404441845289</v>
      </c>
      <c r="C9" s="38" t="n">
        <f aca="false">'2 Hold intensity'!$B$38</f>
        <v>0.1002111461248</v>
      </c>
      <c r="D9" s="38" t="n">
        <f aca="false">'3 Volume + inflation'!$B$37</f>
        <v>0.10299839156753</v>
      </c>
      <c r="E9" s="38" t="n">
        <f aca="false">'4 Volume, held flat'!$B$37</f>
        <v>0.0934933678772949</v>
      </c>
      <c r="G9" s="5" t="s">
        <v>139</v>
      </c>
    </row>
    <row r="10" customFormat="false" ht="15" hidden="false" customHeight="false" outlineLevel="0" collapsed="false">
      <c r="A10" s="7" t="s">
        <v>109</v>
      </c>
      <c r="B10" s="39" t="n">
        <f aca="false">'1 Ruled build'!$B$36</f>
        <v>1.68302110634149</v>
      </c>
      <c r="C10" s="39" t="n">
        <f aca="false">'2 Hold intensity'!$B$39</f>
        <v>1.12886519259821</v>
      </c>
      <c r="D10" s="39" t="n">
        <f aca="false">'3 Volume + inflation'!$B$38</f>
        <v>1.16026314068283</v>
      </c>
      <c r="E10" s="39" t="n">
        <f aca="false">'4 Volume, held flat'!$B$38</f>
        <v>1.05319031681386</v>
      </c>
      <c r="G10" s="5" t="s">
        <v>140</v>
      </c>
    </row>
    <row r="11" customFormat="false" ht="15" hidden="false" customHeight="false" outlineLevel="0" collapsed="false">
      <c r="A11" s="7" t="s">
        <v>114</v>
      </c>
      <c r="B11" s="37" t="n">
        <f aca="false">'1 Ruled build'!$B$41</f>
        <v>0.512873870309303</v>
      </c>
      <c r="C11" s="37" t="n">
        <f aca="false">'2 Hold intensity'!$B$44</f>
        <v>0.621834589240601</v>
      </c>
      <c r="D11" s="37" t="n">
        <f aca="false">'3 Volume + inflation'!$B$43</f>
        <v>0.611232788081189</v>
      </c>
      <c r="E11" s="37" t="n">
        <f aca="false">'4 Volume, held flat'!$B$43</f>
        <v>0.642823641099053</v>
      </c>
      <c r="G11" s="5" t="s">
        <v>141</v>
      </c>
    </row>
    <row r="13" customFormat="false" ht="15" hidden="false" customHeight="false" outlineLevel="0" collapsed="false">
      <c r="A13" s="7" t="s">
        <v>142</v>
      </c>
      <c r="B13" s="40" t="n">
        <f aca="false">'1 Ruled build'!$B$46/'1 Ruled build'!$B$46-1</f>
        <v>0</v>
      </c>
      <c r="C13" s="40" t="n">
        <f aca="false">'2 Hold intensity'!$B$49/'1 Ruled build'!$B$46-1</f>
        <v>-0.344281818804458</v>
      </c>
      <c r="D13" s="40" t="n">
        <f aca="false">'3 Volume + inflation'!$B$48/'1 Ruled build'!$B$46-1</f>
        <v>-0.317886679726442</v>
      </c>
      <c r="E13" s="40" t="n">
        <f aca="false">'4 Volume, held flat'!$B$48/'1 Ruled build'!$B$46-1</f>
        <v>-0.399952110506315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20"/>
  </cols>
  <sheetData>
    <row r="1" customFormat="false" ht="17.35" hidden="false" customHeight="false" outlineLevel="0" collapsed="false">
      <c r="A1" s="1" t="s">
        <v>143</v>
      </c>
    </row>
    <row r="2" customFormat="false" ht="15" hidden="false" customHeight="false" outlineLevel="0" collapsed="false">
      <c r="A2" s="5" t="s">
        <v>144</v>
      </c>
    </row>
    <row r="4" customFormat="false" ht="15" hidden="false" customHeight="false" outlineLevel="0" collapsed="false">
      <c r="A4" s="16" t="s">
        <v>145</v>
      </c>
      <c r="B4" s="35" t="s">
        <v>7</v>
      </c>
      <c r="C4" s="35" t="s">
        <v>9</v>
      </c>
      <c r="D4" s="35" t="s">
        <v>11</v>
      </c>
      <c r="E4" s="35" t="s">
        <v>13</v>
      </c>
    </row>
    <row r="5" customFormat="false" ht="15" hidden="false" customHeight="false" outlineLevel="0" collapsed="false">
      <c r="A5" s="7" t="s">
        <v>146</v>
      </c>
      <c r="B5" s="41" t="n">
        <v>3.17932350252343</v>
      </c>
      <c r="C5" s="41" t="n">
        <v>1.98044379361963</v>
      </c>
      <c r="D5" s="41" t="n">
        <v>1.86708310204086</v>
      </c>
      <c r="E5" s="41" t="n">
        <v>1.5341773750206</v>
      </c>
    </row>
    <row r="6" customFormat="false" ht="15" hidden="false" customHeight="false" outlineLevel="0" collapsed="false">
      <c r="A6" s="4" t="s">
        <v>147</v>
      </c>
      <c r="B6" s="42" t="n">
        <v>2.69561686896045</v>
      </c>
      <c r="C6" s="42" t="n">
        <v>1.76756499051477</v>
      </c>
      <c r="D6" s="42" t="n">
        <v>1.83871617267202</v>
      </c>
      <c r="E6" s="42" t="n">
        <v>1.61749921310329</v>
      </c>
    </row>
    <row r="7" customFormat="false" ht="15" hidden="false" customHeight="false" outlineLevel="0" collapsed="false">
      <c r="A7" s="7" t="s">
        <v>148</v>
      </c>
      <c r="B7" s="41" t="n">
        <v>2.65582181685561</v>
      </c>
      <c r="C7" s="41" t="n">
        <v>1.86296199546415</v>
      </c>
      <c r="D7" s="41" t="n">
        <v>1.98013221352247</v>
      </c>
      <c r="E7" s="41" t="n">
        <v>1.79569938897759</v>
      </c>
    </row>
    <row r="8" customFormat="false" ht="15" hidden="false" customHeight="false" outlineLevel="0" collapsed="false">
      <c r="A8" s="7" t="s">
        <v>149</v>
      </c>
      <c r="B8" s="41" t="n">
        <v>1.86292262829415</v>
      </c>
      <c r="C8" s="41" t="n">
        <v>0.949706003454778</v>
      </c>
      <c r="D8" s="41" t="n">
        <v>1.3304624806926</v>
      </c>
      <c r="E8" s="41" t="n">
        <v>1.12644082465449</v>
      </c>
    </row>
    <row r="9" customFormat="false" ht="15" hidden="false" customHeight="false" outlineLevel="0" collapsed="false">
      <c r="A9" s="7" t="s">
        <v>150</v>
      </c>
      <c r="B9" s="41" t="n">
        <v>1.52941065849678</v>
      </c>
      <c r="C9" s="41" t="n">
        <v>0.948539445717193</v>
      </c>
      <c r="D9" s="41" t="n">
        <v>1.53348268613307</v>
      </c>
      <c r="E9" s="41" t="n">
        <v>1.27636243984971</v>
      </c>
    </row>
    <row r="10" customFormat="false" ht="15" hidden="false" customHeight="false" outlineLevel="0" collapsed="false">
      <c r="A10" s="7" t="s">
        <v>151</v>
      </c>
      <c r="B10" s="41" t="n">
        <v>0.58409190175716</v>
      </c>
      <c r="C10" s="41" t="n">
        <v>-0.19975470530847</v>
      </c>
      <c r="D10" s="41" t="n">
        <v>0.330789503031611</v>
      </c>
      <c r="E10" s="41" t="n">
        <v>0.18490978381718</v>
      </c>
    </row>
    <row r="12" customFormat="false" ht="15" hidden="false" customHeight="false" outlineLevel="0" collapsed="false">
      <c r="A12" s="5" t="s">
        <v>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2026-08-25T05:28:34Z</dcterms:created>
  <dc:creator>openpyxl</dc:creator>
  <dc:description/>
  <dc:language>en-US</dc:language>
  <cp:lastModifiedBy/>
  <dcterms:modified xsi:type="dcterms:W3CDTF">2026-08-25T05:28:38Z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