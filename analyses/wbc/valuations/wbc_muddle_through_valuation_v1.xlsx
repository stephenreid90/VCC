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of Equity Build" sheetId="3" state="visible" r:id="rId3"/>
    <sheet xmlns:r="http://schemas.openxmlformats.org/officeDocument/2006/relationships" name="P&amp;L Forecast" sheetId="4" state="visible" r:id="rId4"/>
    <sheet xmlns:r="http://schemas.openxmlformats.org/officeDocument/2006/relationships" name="Capital &amp; Dividends" sheetId="5" state="visible" r:id="rId5"/>
    <sheet xmlns:r="http://schemas.openxmlformats.org/officeDocument/2006/relationships" name="Per-Share Value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AUD &quot;0.00"/>
    <numFmt numFmtId="165" formatCode="0.0%"/>
    <numFmt numFmtId="166" formatCode=""/>
    <numFmt numFmtId="167" formatCode="#,##0;(#,##0)"/>
    <numFmt numFmtId="168" formatCode="0.0000%"/>
    <numFmt numFmtId="169" formatCode="#,##0.0"/>
    <numFmt numFmtId="170" formatCode="0.0&quot;bp&quot;"/>
    <numFmt numFmtId="171" formatCode="0&quot;bp&quot;"/>
    <numFmt numFmtId="172" formatCode="0.000"/>
    <numFmt numFmtId="173" formatCode="0&quot;bps&quot;"/>
    <numFmt numFmtId="17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6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  <xf numFmtId="166" fontId="7" fillId="3" borderId="1" pivotButton="0" quotePrefix="0" xfId="0"/>
    <xf numFmtId="3" fontId="7" fillId="3" borderId="1" pivotButton="0" quotePrefix="0" xfId="0"/>
    <xf numFmtId="166" fontId="6" fillId="3" borderId="1" pivotButton="0" quotePrefix="0" xfId="0"/>
    <xf numFmtId="10" fontId="6" fillId="3" borderId="1" pivotButton="0" quotePrefix="0" xfId="0"/>
    <xf numFmtId="10" fontId="6" fillId="0" borderId="1" pivotButton="0" quotePrefix="0" xfId="0"/>
    <xf numFmtId="166" fontId="7" fillId="0" borderId="1" pivotButton="0" quotePrefix="0" xfId="0"/>
    <xf numFmtId="10" fontId="7" fillId="0" borderId="1" pivotButton="0" quotePrefix="0" xfId="0"/>
    <xf numFmtId="168" fontId="6" fillId="3" borderId="1" pivotButton="0" quotePrefix="0" xfId="0"/>
    <xf numFmtId="168" fontId="6" fillId="0" borderId="1" pivotButton="0" quotePrefix="0" xfId="0"/>
    <xf numFmtId="0" fontId="6" fillId="0" borderId="1" pivotButton="0" quotePrefix="0" xfId="0"/>
    <xf numFmtId="165" fontId="6" fillId="3" borderId="1" pivotButton="0" quotePrefix="0" xfId="0"/>
    <xf numFmtId="165" fontId="6" fillId="0" borderId="1" pivotButton="0" quotePrefix="0" xfId="0"/>
    <xf numFmtId="169" fontId="6" fillId="3" borderId="1" pivotButton="0" quotePrefix="0" xfId="0"/>
    <xf numFmtId="2" fontId="6" fillId="0" borderId="1" pivotButton="0" quotePrefix="0" xfId="0"/>
    <xf numFmtId="2" fontId="7" fillId="3" borderId="1" pivotButton="0" quotePrefix="0" xfId="0"/>
    <xf numFmtId="166" fontId="7" fillId="2" borderId="1" pivotButton="0" quotePrefix="0" xfId="0"/>
    <xf numFmtId="10" fontId="7" fillId="2" borderId="1" pivotButton="0" quotePrefix="0" xfId="0"/>
    <xf numFmtId="0" fontId="8" fillId="4" borderId="1" applyAlignment="1" pivotButton="0" quotePrefix="0" xfId="0">
      <alignment horizontal="center"/>
    </xf>
    <xf numFmtId="2" fontId="7" fillId="2" borderId="1" pivotButton="0" quotePrefix="0" xfId="0"/>
    <xf numFmtId="10" fontId="7" fillId="3" borderId="1" pivotButton="0" quotePrefix="0" xfId="0"/>
    <xf numFmtId="0" fontId="9" fillId="0" borderId="0" pivotButton="0" quotePrefix="0" xfId="0"/>
    <xf numFmtId="1" fontId="6" fillId="0" borderId="1" pivotButton="0" quotePrefix="0" xfId="0"/>
    <xf numFmtId="3" fontId="7" fillId="0" borderId="1" pivotButton="0" quotePrefix="0" xfId="0"/>
    <xf numFmtId="170" fontId="6" fillId="0" borderId="1" pivotButton="0" quotePrefix="0" xfId="0"/>
    <xf numFmtId="171" fontId="6" fillId="0" borderId="1" pivotButton="0" quotePrefix="0" xfId="0"/>
    <xf numFmtId="3" fontId="7" fillId="2" borderId="1" pivotButton="0" quotePrefix="0" xfId="0"/>
    <xf numFmtId="172" fontId="7" fillId="0" borderId="1" pivotButton="0" quotePrefix="0" xfId="0"/>
    <xf numFmtId="2" fontId="7" fillId="0" borderId="1" pivotButton="0" quotePrefix="0" xfId="0"/>
    <xf numFmtId="3" fontId="6" fillId="3" borderId="1" pivotButton="0" quotePrefix="0" xfId="0"/>
    <xf numFmtId="9" fontId="6" fillId="0" borderId="1" pivotButton="0" quotePrefix="0" xfId="0"/>
    <xf numFmtId="173" fontId="6" fillId="3" borderId="1" pivotButton="0" quotePrefix="0" xfId="0"/>
    <xf numFmtId="172" fontId="6" fillId="0" borderId="1" pivotButton="0" quotePrefix="0" xfId="0"/>
    <xf numFmtId="174" fontId="6" fillId="0" borderId="1" pivotButton="0" quotePrefix="0" xfId="0"/>
    <xf numFmtId="169" fontId="6" fillId="0" borderId="1" pivotButton="0" quotePrefix="0" xfId="0"/>
    <xf numFmtId="164" fontId="7" fillId="2" borderId="1" pivotButton="0" quotePrefix="0" xfId="0"/>
    <xf numFmtId="164" fontId="6" fillId="0" borderId="1" pivotButton="0" quotePrefix="0" xfId="0"/>
    <xf numFmtId="165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</cols>
  <sheetData>
    <row r="1">
      <c r="A1" s="1" t="inlineStr">
        <is>
          <t>Westpac Banking Corporation (ASX:WBC)</t>
        </is>
      </c>
    </row>
    <row r="2">
      <c r="A2" s="2" t="inlineStr">
        <is>
          <t>Muddle Through valuation — first worked example under methodology §15</t>
        </is>
      </c>
    </row>
    <row r="3">
      <c r="A3" s="3" t="inlineStr">
        <is>
          <t>16 June 2026 | Reid Advisory</t>
        </is>
      </c>
    </row>
    <row r="5">
      <c r="A5" s="4" t="inlineStr">
        <is>
          <t>Headline result</t>
        </is>
      </c>
    </row>
    <row r="6">
      <c r="A6" t="inlineStr">
        <is>
          <t>Per share value (Muddle Through)</t>
        </is>
      </c>
      <c r="B6" s="5" t="n">
        <v>30.1</v>
      </c>
    </row>
    <row r="7">
      <c r="A7" t="inlineStr">
        <is>
          <t>Market reference (15 June 2026)</t>
        </is>
      </c>
      <c r="B7" s="6" t="n">
        <v>35.32</v>
      </c>
    </row>
    <row r="8">
      <c r="A8" t="inlineStr">
        <is>
          <t>Discount / (premium) vs market</t>
        </is>
      </c>
      <c r="B8" s="7">
        <f>B6/B7-1</f>
        <v/>
      </c>
    </row>
    <row r="9">
      <c r="A9" t="inlineStr">
        <is>
          <t>Sell-side consensus 12-month target</t>
        </is>
      </c>
      <c r="B9" s="6" t="n">
        <v>33.45</v>
      </c>
    </row>
    <row r="11">
      <c r="A11" s="4" t="inlineStr">
        <is>
          <t>Methodology references</t>
        </is>
      </c>
    </row>
    <row r="12">
      <c r="A12" s="8" t="inlineStr">
        <is>
          <t>• §15 Bank-specific valuation conventions (residual income on equity; cost of equity not WACC).</t>
        </is>
      </c>
    </row>
    <row r="13">
      <c r="A13" s="8" t="inlineStr">
        <is>
          <t>• §15.2 Cost of equity: Re = Rf + β × ERP. β selected via peer-triangulation per §3.5.3.</t>
        </is>
      </c>
    </row>
    <row r="14">
      <c r="A14" s="8" t="inlineStr">
        <is>
          <t>• §15.3 Revenue decomposition: NII = average interest-earning assets × NIM; non-NII separately.</t>
        </is>
      </c>
    </row>
    <row r="15">
      <c r="A15" s="8" t="inlineStr">
        <is>
          <t>• §15.4 Credit losses as primary scenario driver, not residual.</t>
        </is>
      </c>
    </row>
    <row r="16">
      <c r="A16" s="8" t="inlineStr">
        <is>
          <t>• §15.5 CET1 capital constraint binds payout and asset growth.</t>
        </is>
      </c>
    </row>
    <row r="17">
      <c r="A17" s="8" t="inlineStr">
        <is>
          <t>• §15.7 AT1 hybrid deducted from per-share ordinary equity.</t>
        </is>
      </c>
    </row>
    <row r="18">
      <c r="A18" s="8" t="inlineStr">
        <is>
          <t>• §15.8 Terminal value via Gordon growth on equity: V_T = Equity_T × (ROE_T − g) / (Ke − g).</t>
        </is>
      </c>
    </row>
    <row r="19">
      <c r="A19" s="8" t="inlineStr">
        <is>
          <t>• §3.5.3 β selected = 0.75 (CBA / NAB / WBC cluster midpoint); measured = 0.73.</t>
        </is>
      </c>
    </row>
    <row r="20">
      <c r="A20" s="8" t="inlineStr">
        <is>
          <t>• Anchor: 1H26 results (31 March 2026); valuation date 25 May 2026; mid-period discounting.</t>
        </is>
      </c>
    </row>
  </sheetData>
  <mergeCells count="9">
    <mergeCell ref="A12:H12"/>
    <mergeCell ref="A18:H18"/>
    <mergeCell ref="A15:H15"/>
    <mergeCell ref="A20:H20"/>
    <mergeCell ref="A16:H16"/>
    <mergeCell ref="A13:H13"/>
    <mergeCell ref="A14:H14"/>
    <mergeCell ref="A19:H19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8" customWidth="1" min="2" max="2"/>
    <col width="35" customWidth="1" min="3" max="3"/>
  </cols>
  <sheetData>
    <row r="1">
      <c r="A1" s="9" t="inlineStr">
        <is>
          <t>Muddle Through assumptions and calibration anchors</t>
        </is>
      </c>
    </row>
    <row r="3">
      <c r="A3" s="10" t="inlineStr">
        <is>
          <t>Income anchors (1H26 ex Notable Items)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Net interest income (1H26 half)</t>
        </is>
      </c>
      <c r="B4" s="13" t="n">
        <v>9763</v>
      </c>
      <c r="C4" s="12" t="inlineStr">
        <is>
          <t>AUD m</t>
        </is>
      </c>
    </row>
    <row r="5">
      <c r="A5" s="12" t="inlineStr">
        <is>
          <t>Non-interest income (1H26 half)</t>
        </is>
      </c>
      <c r="B5" s="13" t="n">
        <v>1521</v>
      </c>
      <c r="C5" s="12" t="inlineStr">
        <is>
          <t>AUD m</t>
        </is>
      </c>
    </row>
    <row r="6">
      <c r="A6" s="12" t="inlineStr">
        <is>
          <t>Operating expenses (1H26 half)</t>
        </is>
      </c>
      <c r="B6" s="14" t="n">
        <v>-5830</v>
      </c>
      <c r="C6" s="12" t="inlineStr">
        <is>
          <t>AUD m</t>
        </is>
      </c>
    </row>
    <row r="7">
      <c r="A7" s="12" t="inlineStr">
        <is>
          <t>Credit impairment charges (1H26 half)</t>
        </is>
      </c>
      <c r="B7" s="14" t="n">
        <v>-443</v>
      </c>
      <c r="C7" s="12" t="inlineStr">
        <is>
          <t>AUD m</t>
        </is>
      </c>
    </row>
    <row r="8">
      <c r="A8" s="15" t="inlineStr">
        <is>
          <t>Cash NPAT (1H26 ex Notable)</t>
        </is>
      </c>
      <c r="B8" s="16" t="n">
        <v>3483</v>
      </c>
      <c r="C8" s="15" t="inlineStr">
        <is>
          <t>AUD m</t>
        </is>
      </c>
    </row>
    <row r="10">
      <c r="A10" s="10" t="inlineStr">
        <is>
          <t>Balance sheet anchors (31 March 2026)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2" t="inlineStr">
        <is>
          <t>Average interest-earning assets (1H26 avg)</t>
        </is>
      </c>
      <c r="B11" s="13" t="n">
        <v>1035226</v>
      </c>
      <c r="C11" s="12" t="inlineStr">
        <is>
          <t>AUD m</t>
        </is>
      </c>
    </row>
    <row r="12">
      <c r="A12" s="12" t="inlineStr">
        <is>
          <t>Gross loans</t>
        </is>
      </c>
      <c r="B12" s="13" t="n">
        <v>890259</v>
      </c>
      <c r="C12" s="12" t="inlineStr">
        <is>
          <t>AUD m</t>
        </is>
      </c>
    </row>
    <row r="13">
      <c r="A13" s="12" t="inlineStr">
        <is>
          <t>Total customer deposits</t>
        </is>
      </c>
      <c r="B13" s="13" t="n">
        <v>745239</v>
      </c>
      <c r="C13" s="12" t="inlineStr">
        <is>
          <t>AUD m</t>
        </is>
      </c>
    </row>
    <row r="14">
      <c r="A14" s="12" t="inlineStr">
        <is>
          <t>Book equity (1H26 close)</t>
        </is>
      </c>
      <c r="B14" s="13" t="n">
        <v>72825</v>
      </c>
      <c r="C14" s="12" t="inlineStr">
        <is>
          <t>AUD m (= 21.31 BV × 3,414.9m shares)</t>
        </is>
      </c>
    </row>
    <row r="15">
      <c r="A15" s="12" t="inlineStr">
        <is>
          <t>CET1 capital (Level 2)</t>
        </is>
      </c>
      <c r="B15" s="13" t="n">
        <v>56936</v>
      </c>
      <c r="C15" s="12" t="inlineStr">
        <is>
          <t>AUD m</t>
        </is>
      </c>
    </row>
    <row r="16">
      <c r="A16" s="12" t="inlineStr">
        <is>
          <t>Total RWA (Level 2)</t>
        </is>
      </c>
      <c r="B16" s="13" t="n">
        <v>458343</v>
      </c>
      <c r="C16" s="12" t="inlineStr">
        <is>
          <t>AUD m</t>
        </is>
      </c>
    </row>
    <row r="17">
      <c r="A17" s="17" t="inlineStr">
        <is>
          <t>CET1 ratio (Level 2)</t>
        </is>
      </c>
      <c r="B17" s="18" t="n">
        <v>0.1242</v>
      </c>
      <c r="C17" s="17">
        <f> 56,936 / 458,343</f>
        <v/>
      </c>
    </row>
    <row r="18">
      <c r="A18" s="12" t="inlineStr">
        <is>
          <t>Management CET1 target (upper)</t>
        </is>
      </c>
      <c r="B18" s="19" t="n">
        <v>0.115</v>
      </c>
      <c r="C18" s="12" t="inlineStr">
        <is>
          <t>Operating range 11.0-11.5%</t>
        </is>
      </c>
    </row>
    <row r="19">
      <c r="A19" s="12" t="inlineStr">
        <is>
          <t>AT1 hybrid outstanding</t>
        </is>
      </c>
      <c r="B19" s="13" t="n">
        <v>8522</v>
      </c>
      <c r="C19" s="12" t="inlineStr">
        <is>
          <t>AUD m</t>
        </is>
      </c>
    </row>
    <row r="21">
      <c r="A21" s="10" t="inlineStr">
        <is>
          <t>NIM anchors (per bank_specifics.historical_anchors)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7" t="inlineStr">
        <is>
          <t>Through-cycle NIM (FY22-FY25 midpoint)</t>
        </is>
      </c>
      <c r="B22" s="18" t="n">
        <v>0.0194</v>
      </c>
      <c r="C22" s="17" t="inlineStr">
        <is>
          <t>Anchor</t>
        </is>
      </c>
    </row>
    <row r="23">
      <c r="A23" s="12" t="inlineStr">
        <is>
          <t>1H26 NIM (current)</t>
        </is>
      </c>
      <c r="B23" s="19" t="n">
        <v>0.0189</v>
      </c>
      <c r="C23" s="12" t="inlineStr">
        <is>
          <t>At lower end of historic range</t>
        </is>
      </c>
    </row>
    <row r="24">
      <c r="A24" s="20" t="inlineStr">
        <is>
          <t>Muddle Through NIM (Y1-Y5)</t>
        </is>
      </c>
      <c r="B24" s="21" t="n">
        <v>0.0192</v>
      </c>
      <c r="C24" s="20" t="inlineStr">
        <is>
          <t>Recovery toward anchor over 2 years</t>
        </is>
      </c>
    </row>
    <row r="26">
      <c r="A26" s="10" t="inlineStr">
        <is>
          <t>Credit losses (per bank_specifics)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7" t="inlineStr">
        <is>
          <t>Through-cycle credit loss anchor</t>
        </is>
      </c>
      <c r="B27" s="22" t="n">
        <v>0.0018</v>
      </c>
      <c r="C27" s="17" t="inlineStr">
        <is>
          <t>18bps of average loans</t>
        </is>
      </c>
    </row>
    <row r="28">
      <c r="A28" s="12" t="inlineStr">
        <is>
          <t>1H26 actual (annualised)</t>
        </is>
      </c>
      <c r="B28" s="23" t="n">
        <v>0.001</v>
      </c>
      <c r="C28" s="12" t="inlineStr">
        <is>
          <t>~10bps benign cycle</t>
        </is>
      </c>
    </row>
    <row r="29">
      <c r="A29" s="24" t="inlineStr">
        <is>
          <t>Muddle Through path (5-year glide)</t>
        </is>
      </c>
      <c r="B29" s="24" t="inlineStr">
        <is>
          <t>Glide from 10 → 18bps over Y1-Y3</t>
        </is>
      </c>
      <c r="C29" s="24" t="inlineStr"/>
      <c r="D29" s="24" t="inlineStr"/>
    </row>
    <row r="31">
      <c r="A31" s="10" t="inlineStr">
        <is>
          <t>Loan growth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7" t="inlineStr">
        <is>
          <t>Muddle Through AIEA growth p.a.</t>
        </is>
      </c>
      <c r="B32" s="25" t="n">
        <v>0.045</v>
      </c>
      <c r="C32" s="17" t="inlineStr">
        <is>
          <t>4.5% nominal, in line with system credit</t>
        </is>
      </c>
    </row>
    <row r="34">
      <c r="A34" s="10" t="inlineStr">
        <is>
          <t>Non-interest income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7" t="inlineStr">
        <is>
          <t>Muddle Through non-NII growth p.a.</t>
        </is>
      </c>
      <c r="B35" s="25" t="n">
        <v>0.025</v>
      </c>
      <c r="C35" s="17" t="inlineStr">
        <is>
          <t>2.5%, tracks subdued fee growth</t>
        </is>
      </c>
    </row>
    <row r="37">
      <c r="A37" s="10" t="inlineStr">
        <is>
          <t>Operating expenses (cost-to-income)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1H26 cost-to-income (ex Notable)</t>
        </is>
      </c>
      <c r="B38" s="26" t="n">
        <v>0.517</v>
      </c>
      <c r="C38" s="12">
        <f> 5,830 / 11,284</f>
        <v/>
      </c>
    </row>
    <row r="39">
      <c r="A39" s="24" t="inlineStr">
        <is>
          <t>Transformation glide (cumulative bps Y1-Y5)</t>
        </is>
      </c>
      <c r="B39" s="24" t="inlineStr">
        <is>
          <t>−50 / −100 / −150 / −175 / −200</t>
        </is>
      </c>
      <c r="C39" s="24" t="inlineStr">
        <is>
          <t>From 51.7% toward ~49.7%</t>
        </is>
      </c>
    </row>
    <row r="40">
      <c r="A40" s="17" t="inlineStr">
        <is>
          <t>Net opex growth p.a. (after transformation glide)</t>
        </is>
      </c>
      <c r="B40" s="25" t="n">
        <v>0.018</v>
      </c>
      <c r="C40" s="17" t="inlineStr">
        <is>
          <t>1.8% nominal — inflation absorbed less productivity</t>
        </is>
      </c>
    </row>
    <row r="42">
      <c r="A42" s="10" t="inlineStr">
        <is>
          <t>Tax rate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7" t="inlineStr">
        <is>
          <t>Effective tax rate (anchor)</t>
        </is>
      </c>
      <c r="B43" s="25" t="n">
        <v>0.3</v>
      </c>
      <c r="C43" s="17" t="inlineStr">
        <is>
          <t>Australian statutory 30%; consistent with 1H26</t>
        </is>
      </c>
    </row>
    <row r="45">
      <c r="A45" s="10" t="inlineStr">
        <is>
          <t>Capital and payout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7" t="inlineStr">
        <is>
          <t>Target payout ratio</t>
        </is>
      </c>
      <c r="B46" s="25" t="n">
        <v>0.75</v>
      </c>
      <c r="C46" s="17" t="inlineStr">
        <is>
          <t>Cash earnings ex Notable</t>
        </is>
      </c>
    </row>
    <row r="47">
      <c r="A47" s="12" t="inlineStr">
        <is>
          <t>RWA / AIEA ratio (1H26)</t>
        </is>
      </c>
      <c r="B47" s="26" t="n">
        <v>0.443</v>
      </c>
      <c r="C47" s="12">
        <f> 458,343 / 1,035,226</f>
        <v/>
      </c>
    </row>
    <row r="48">
      <c r="A48" s="12" t="inlineStr">
        <is>
          <t>CET1 deductions (AT1 + DTAs + sw int + goodwill)</t>
        </is>
      </c>
      <c r="B48" s="13" t="n">
        <v>12000</v>
      </c>
      <c r="C48" s="12" t="inlineStr">
        <is>
          <t>AUD m approx; held constant</t>
        </is>
      </c>
    </row>
    <row r="50">
      <c r="A50" s="10" t="inlineStr">
        <is>
          <t>Terminal value (per §15.8)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7" t="inlineStr">
        <is>
          <t>Terminal ROE (cyclically adjusted)</t>
        </is>
      </c>
      <c r="B51" s="25" t="n">
        <v>0.105</v>
      </c>
      <c r="C51" s="17" t="inlineStr">
        <is>
          <t>Mid Big-Four range 10-13%</t>
        </is>
      </c>
    </row>
    <row r="52">
      <c r="A52" s="17" t="inlineStr">
        <is>
          <t>Terminal asset growth g</t>
        </is>
      </c>
      <c r="B52" s="25" t="n">
        <v>0.035</v>
      </c>
      <c r="C52" s="17" t="inlineStr">
        <is>
          <t>3.5% nominal; nominal GDP-adjacent</t>
        </is>
      </c>
    </row>
    <row r="53">
      <c r="A53" s="12" t="inlineStr">
        <is>
          <t>Terminal payout ratio</t>
        </is>
      </c>
      <c r="B53" s="26" t="n">
        <v>0.65</v>
      </c>
      <c r="C53" s="12" t="inlineStr">
        <is>
          <t>Sustainable: 1 − g/ROE = 1 − 3.5/10.5 = 67%</t>
        </is>
      </c>
    </row>
    <row r="55">
      <c r="A55" s="10" t="inlineStr">
        <is>
          <t>Shares outstanding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7" t="inlineStr">
        <is>
          <t>Shares outstanding (1H26 anchor)</t>
        </is>
      </c>
      <c r="B56" s="27" t="n">
        <v>3414.9</v>
      </c>
      <c r="C56" s="17" t="inlineStr">
        <is>
          <t>millions; EODHD-verified 3,414,907,347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8" customWidth="1" min="2" max="2"/>
    <col width="25" customWidth="1" min="3" max="3"/>
    <col width="50" customWidth="1" min="4" max="4"/>
  </cols>
  <sheetData>
    <row r="1">
      <c r="A1" s="9" t="inlineStr">
        <is>
          <t>Cost of equity build — Westpac (per §15.2 + §3.5.3)</t>
        </is>
      </c>
    </row>
    <row r="3">
      <c r="A3" s="10" t="inlineStr">
        <is>
          <t>CAPM components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2" t="inlineStr">
        <is>
          <t>Risk-free rate (Rf)</t>
        </is>
      </c>
      <c r="B4" s="19" t="n">
        <v>0.043</v>
      </c>
      <c r="C4" s="12" t="inlineStr">
        <is>
          <t>10y AU Commonwealth bond, May 2026</t>
        </is>
      </c>
    </row>
    <row r="5">
      <c r="A5" s="12" t="inlineStr">
        <is>
          <t>Equity risk premium (ERP)</t>
        </is>
      </c>
      <c r="B5" s="19" t="n">
        <v>0.05</v>
      </c>
      <c r="C5" s="12" t="inlineStr">
        <is>
          <t>Damodaran-style mature-Australia</t>
        </is>
      </c>
    </row>
    <row r="6">
      <c r="A6" s="12" t="inlineStr">
        <is>
          <t>Beta measured (WBC)</t>
        </is>
      </c>
      <c r="B6" s="28" t="n">
        <v>0.73</v>
      </c>
      <c r="C6" s="12" t="inlineStr">
        <is>
          <t>EODHD feed, 15 June 2026</t>
        </is>
      </c>
    </row>
    <row r="7">
      <c r="A7" s="15" t="inlineStr">
        <is>
          <t>Beta selected</t>
        </is>
      </c>
      <c r="B7" s="29" t="n">
        <v>0.75</v>
      </c>
      <c r="C7" s="15" t="inlineStr">
        <is>
          <t>Per §3.5.3 peer triangulation (see below)</t>
        </is>
      </c>
    </row>
    <row r="8">
      <c r="A8" s="30" t="inlineStr">
        <is>
          <t>Cost of equity (Re)</t>
        </is>
      </c>
      <c r="B8" s="31">
        <f>B5+B7*B6</f>
        <v/>
      </c>
      <c r="C8" s="30">
        <f> Rf + β × ERP = 4.30% + 0.75 × 5.00% = 8.05%</f>
        <v/>
      </c>
    </row>
    <row r="10">
      <c r="A10" s="10" t="inlineStr">
        <is>
          <t>Peer-triangulation discipline per §3.5.3 (peer beta dataset, 15 June 2026)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32" t="inlineStr">
        <is>
          <t>Peer</t>
        </is>
      </c>
      <c r="B11" s="32" t="inlineStr">
        <is>
          <t>Measured β</t>
        </is>
      </c>
      <c r="C11" s="32" t="inlineStr">
        <is>
          <t>Inclusion</t>
        </is>
      </c>
      <c r="D11" s="32" t="inlineStr">
        <is>
          <t>Notes</t>
        </is>
      </c>
    </row>
    <row r="12">
      <c r="A12" s="12" t="inlineStr">
        <is>
          <t>CBA</t>
        </is>
      </c>
      <c r="B12" s="28" t="n">
        <v>0.8</v>
      </c>
      <c r="C12" s="12" t="inlineStr">
        <is>
          <t>Comparable peer</t>
        </is>
      </c>
      <c r="D12" s="12" t="inlineStr">
        <is>
          <t>Franchise leader; deposit + digital scale</t>
        </is>
      </c>
    </row>
    <row r="13">
      <c r="A13" s="12" t="inlineStr">
        <is>
          <t>NAB</t>
        </is>
      </c>
      <c r="B13" s="28" t="n">
        <v>0.72</v>
      </c>
      <c r="C13" s="12" t="inlineStr">
        <is>
          <t>Comparable peer</t>
        </is>
      </c>
      <c r="D13" s="12" t="inlineStr">
        <is>
          <t>Business-banking leader; similar mix</t>
        </is>
      </c>
    </row>
    <row r="14">
      <c r="A14" s="30" t="inlineStr">
        <is>
          <t>WBC</t>
        </is>
      </c>
      <c r="B14" s="33" t="n">
        <v>0.73</v>
      </c>
      <c r="C14" s="30" t="inlineStr">
        <is>
          <t>Subject company</t>
        </is>
      </c>
      <c r="D14" s="30" t="inlineStr">
        <is>
          <t>Mortgage-book scale #2</t>
        </is>
      </c>
    </row>
    <row r="15">
      <c r="A15" s="12" t="inlineStr">
        <is>
          <t>ANZ</t>
        </is>
      </c>
      <c r="B15" s="28" t="n">
        <v>0.57</v>
      </c>
      <c r="C15" s="12" t="inlineStr">
        <is>
          <t>EXCLUDED outlier</t>
        </is>
      </c>
      <c r="D15" s="12" t="inlineStr">
        <is>
          <t>Institutional/international dilution + Suncorp</t>
        </is>
      </c>
    </row>
    <row r="16">
      <c r="A16" s="12" t="inlineStr">
        <is>
          <t>MQG</t>
        </is>
      </c>
      <c r="B16" s="28" t="n">
        <v>0.88</v>
      </c>
      <c r="C16" s="12" t="inlineStr">
        <is>
          <t>Informative not comparable</t>
        </is>
      </c>
      <c r="D16" s="12" t="inlineStr">
        <is>
          <t>Markets/asset-mgmt archetype</t>
        </is>
      </c>
    </row>
    <row r="18">
      <c r="A18" s="24" t="inlineStr">
        <is>
          <t>Comparable peer cluster (CBA / NAB / WBC)</t>
        </is>
      </c>
      <c r="B18" s="24" t="inlineStr">
        <is>
          <t>0.72-0.80</t>
        </is>
      </c>
      <c r="C18" s="24" t="inlineStr">
        <is>
          <t>Range</t>
        </is>
      </c>
    </row>
    <row r="19">
      <c r="A19" s="30" t="inlineStr">
        <is>
          <t>Cluster midpoint</t>
        </is>
      </c>
      <c r="B19" s="33" t="n">
        <v>0.75</v>
      </c>
      <c r="C19" s="30">
        <f> β selected</f>
        <v/>
      </c>
    </row>
    <row r="21">
      <c r="A21" s="10" t="inlineStr">
        <is>
          <t>Sensitivity table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32" t="inlineStr">
        <is>
          <t>β</t>
        </is>
      </c>
      <c r="B22" s="32" t="inlineStr">
        <is>
          <t>Cost of equity</t>
        </is>
      </c>
    </row>
    <row r="23">
      <c r="A23" s="28" t="n">
        <v>0.7</v>
      </c>
      <c r="B23" s="19" t="n">
        <v>0.07799999999999999</v>
      </c>
    </row>
    <row r="24">
      <c r="A24" s="28" t="n">
        <v>0.72</v>
      </c>
      <c r="B24" s="19" t="n">
        <v>0.07899999999999999</v>
      </c>
    </row>
    <row r="25">
      <c r="A25" s="29" t="n">
        <v>0.73</v>
      </c>
      <c r="B25" s="34" t="n">
        <v>0.07949999999999999</v>
      </c>
    </row>
    <row r="26">
      <c r="A26" s="33" t="n">
        <v>0.75</v>
      </c>
      <c r="B26" s="31" t="n">
        <v>0.0805</v>
      </c>
    </row>
    <row r="27">
      <c r="A27" s="28" t="n">
        <v>0.78</v>
      </c>
      <c r="B27" s="19" t="n">
        <v>0.082</v>
      </c>
    </row>
    <row r="28">
      <c r="A28" s="28" t="n">
        <v>0.8</v>
      </c>
      <c r="B28" s="19" t="n">
        <v>0.083</v>
      </c>
    </row>
    <row r="29">
      <c r="A29" s="28" t="n">
        <v>0.85</v>
      </c>
      <c r="B29" s="19" t="n">
        <v>0.08549999999999999</v>
      </c>
    </row>
    <row r="30">
      <c r="A30" s="28" t="n">
        <v>0.95</v>
      </c>
      <c r="B30" s="19" t="n">
        <v>0.0905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9" t="inlineStr">
        <is>
          <t>Muddle Through 5-year P&amp;L forecast</t>
        </is>
      </c>
    </row>
    <row r="2">
      <c r="A2" s="35" t="inlineStr">
        <is>
          <t>Stub period 25 May–30 Sep 2026 + FY27 to FY31 explicit forecast. AUD m unless stated.</t>
        </is>
      </c>
    </row>
    <row r="4">
      <c r="A4" s="32" t="inlineStr">
        <is>
          <t>Line</t>
        </is>
      </c>
      <c r="B4" s="32" t="inlineStr">
        <is>
          <t>Stub (0.35y)</t>
        </is>
      </c>
      <c r="C4" s="32" t="inlineStr">
        <is>
          <t>Y1 FY27</t>
        </is>
      </c>
      <c r="D4" s="32" t="inlineStr">
        <is>
          <t>Y2 FY28</t>
        </is>
      </c>
      <c r="E4" s="32" t="inlineStr">
        <is>
          <t>Y3 FY29</t>
        </is>
      </c>
      <c r="F4" s="32" t="inlineStr">
        <is>
          <t>Y4 FY30</t>
        </is>
      </c>
      <c r="G4" s="32" t="inlineStr">
        <is>
          <t>Y5 FY31</t>
        </is>
      </c>
      <c r="H4" s="32" t="inlineStr">
        <is>
          <t>Terminal</t>
        </is>
      </c>
    </row>
    <row r="5">
      <c r="A5" s="12" t="inlineStr">
        <is>
          <t>Average interest-earning assets</t>
        </is>
      </c>
      <c r="B5" s="13" t="n">
        <v>1063626</v>
      </c>
      <c r="C5" s="13" t="n">
        <v>1092025</v>
      </c>
      <c r="D5" s="13" t="n">
        <v>1141166</v>
      </c>
      <c r="E5" s="13" t="n">
        <v>1192519</v>
      </c>
      <c r="F5" s="13" t="n">
        <v>1246182</v>
      </c>
      <c r="G5" s="13" t="n">
        <v>1302260</v>
      </c>
      <c r="H5" s="13" t="n">
        <v>1347839</v>
      </c>
    </row>
    <row r="6">
      <c r="A6" s="12" t="inlineStr">
        <is>
          <t>NIM</t>
        </is>
      </c>
      <c r="B6" s="19" t="n">
        <v>0.019</v>
      </c>
      <c r="C6" s="19" t="n">
        <v>0.0192</v>
      </c>
      <c r="D6" s="19" t="n">
        <v>0.0193</v>
      </c>
      <c r="E6" s="19" t="n">
        <v>0.0194</v>
      </c>
      <c r="F6" s="19" t="n">
        <v>0.0194</v>
      </c>
      <c r="G6" s="19" t="n">
        <v>0.0194</v>
      </c>
      <c r="H6" s="19" t="n">
        <v>0.0194</v>
      </c>
    </row>
    <row r="7">
      <c r="A7" s="12" t="inlineStr">
        <is>
          <t>Period length (years)</t>
        </is>
      </c>
      <c r="B7" s="28" t="n">
        <v>0.35</v>
      </c>
      <c r="C7" s="36" t="n">
        <v>1</v>
      </c>
      <c r="D7" s="36" t="n">
        <v>1</v>
      </c>
      <c r="E7" s="36" t="n">
        <v>1</v>
      </c>
      <c r="F7" s="36" t="n">
        <v>1</v>
      </c>
      <c r="G7" s="36" t="n">
        <v>1</v>
      </c>
      <c r="H7" s="36" t="n">
        <v>1</v>
      </c>
    </row>
    <row r="8">
      <c r="A8" s="15" t="inlineStr">
        <is>
          <t>Net interest income</t>
        </is>
      </c>
      <c r="B8" s="16" t="n">
        <v>7073</v>
      </c>
      <c r="C8" s="16" t="n">
        <v>20967</v>
      </c>
      <c r="D8" s="16" t="n">
        <v>22025</v>
      </c>
      <c r="E8" s="16" t="n">
        <v>23135</v>
      </c>
      <c r="F8" s="16" t="n">
        <v>24176</v>
      </c>
      <c r="G8" s="16" t="n">
        <v>25264</v>
      </c>
      <c r="H8" s="16" t="n">
        <v>26148</v>
      </c>
    </row>
    <row r="9">
      <c r="A9" s="12" t="inlineStr">
        <is>
          <t>Non-interest income</t>
        </is>
      </c>
      <c r="B9" s="13" t="n">
        <v>1084</v>
      </c>
      <c r="C9" s="13" t="n">
        <v>3160</v>
      </c>
      <c r="D9" s="13" t="n">
        <v>3239</v>
      </c>
      <c r="E9" s="13" t="n">
        <v>3320</v>
      </c>
      <c r="F9" s="13" t="n">
        <v>3403</v>
      </c>
      <c r="G9" s="13" t="n">
        <v>3488</v>
      </c>
      <c r="H9" s="13" t="n">
        <v>3610</v>
      </c>
    </row>
    <row r="10">
      <c r="A10" s="20" t="inlineStr">
        <is>
          <t>Total operating income</t>
        </is>
      </c>
      <c r="B10" s="37" t="n">
        <v>8157</v>
      </c>
      <c r="C10" s="37" t="n">
        <v>24127</v>
      </c>
      <c r="D10" s="37" t="n">
        <v>25264</v>
      </c>
      <c r="E10" s="37" t="n">
        <v>26455</v>
      </c>
      <c r="F10" s="37" t="n">
        <v>27579</v>
      </c>
      <c r="G10" s="37" t="n">
        <v>28752</v>
      </c>
      <c r="H10" s="37" t="n">
        <v>29758</v>
      </c>
    </row>
    <row r="11">
      <c r="A11" s="12" t="inlineStr">
        <is>
          <t>Operating expenses</t>
        </is>
      </c>
      <c r="B11" s="14" t="n">
        <v>-4201</v>
      </c>
      <c r="C11" s="14" t="n">
        <v>-12353</v>
      </c>
      <c r="D11" s="14" t="n">
        <v>-12809</v>
      </c>
      <c r="E11" s="14" t="n">
        <v>-13280</v>
      </c>
      <c r="F11" s="14" t="n">
        <v>-13762</v>
      </c>
      <c r="G11" s="14" t="n">
        <v>-14290</v>
      </c>
      <c r="H11" s="14" t="n">
        <v>-14790</v>
      </c>
    </row>
    <row r="12">
      <c r="A12" s="12" t="inlineStr">
        <is>
          <t xml:space="preserve">  (Cost-to-income ratio, applied)</t>
        </is>
      </c>
      <c r="B12" s="26" t="n">
        <v>0.515</v>
      </c>
      <c r="C12" s="26" t="n">
        <v>0.512</v>
      </c>
      <c r="D12" s="26" t="n">
        <v>0.507</v>
      </c>
      <c r="E12" s="26" t="n">
        <v>0.502</v>
      </c>
      <c r="F12" s="26" t="n">
        <v>0.499</v>
      </c>
      <c r="G12" s="26" t="n">
        <v>0.497</v>
      </c>
      <c r="H12" s="26" t="n">
        <v>0.497</v>
      </c>
    </row>
    <row r="13">
      <c r="A13" s="15" t="inlineStr">
        <is>
          <t>Pre-provision profit</t>
        </is>
      </c>
      <c r="B13" s="16" t="n">
        <v>3956</v>
      </c>
      <c r="C13" s="16" t="n">
        <v>11774</v>
      </c>
      <c r="D13" s="16" t="n">
        <v>12455</v>
      </c>
      <c r="E13" s="16" t="n">
        <v>13175</v>
      </c>
      <c r="F13" s="16" t="n">
        <v>13817</v>
      </c>
      <c r="G13" s="16" t="n">
        <v>14462</v>
      </c>
      <c r="H13" s="16" t="n">
        <v>14968</v>
      </c>
    </row>
    <row r="14">
      <c r="A14" s="12" t="inlineStr">
        <is>
          <t xml:space="preserve">  Memo: avg loans (= AIEA × 77%)</t>
        </is>
      </c>
      <c r="B14" s="13" t="n">
        <v>818992</v>
      </c>
      <c r="C14" s="13" t="n">
        <v>840859</v>
      </c>
      <c r="D14" s="13" t="n">
        <v>878698</v>
      </c>
      <c r="E14" s="13" t="n">
        <v>918239</v>
      </c>
      <c r="F14" s="13" t="n">
        <v>959560</v>
      </c>
      <c r="G14" s="13" t="n">
        <v>1002740</v>
      </c>
      <c r="H14" s="13" t="n">
        <v>1037836</v>
      </c>
    </row>
    <row r="15">
      <c r="A15" s="12" t="inlineStr">
        <is>
          <t>Credit impairment charges</t>
        </is>
      </c>
      <c r="B15" s="14" t="n">
        <v>-315</v>
      </c>
      <c r="C15" s="14" t="n">
        <v>-1093</v>
      </c>
      <c r="D15" s="14" t="n">
        <v>-1406</v>
      </c>
      <c r="E15" s="14" t="n">
        <v>-1653</v>
      </c>
      <c r="F15" s="14" t="n">
        <v>-1727</v>
      </c>
      <c r="G15" s="14" t="n">
        <v>-1805</v>
      </c>
      <c r="H15" s="14" t="n">
        <v>-1868</v>
      </c>
    </row>
    <row r="16">
      <c r="A16" s="12" t="inlineStr">
        <is>
          <t xml:space="preserve">  (Credit loss rate bps p.a. on avg loans)</t>
        </is>
      </c>
      <c r="B16" s="38" t="n">
        <v>11</v>
      </c>
      <c r="C16" s="39" t="n">
        <v>13</v>
      </c>
      <c r="D16" s="39" t="n">
        <v>16</v>
      </c>
      <c r="E16" s="39" t="n">
        <v>18</v>
      </c>
      <c r="F16" s="39" t="n">
        <v>18</v>
      </c>
      <c r="G16" s="39" t="n">
        <v>18</v>
      </c>
      <c r="H16" s="39" t="n">
        <v>18</v>
      </c>
    </row>
    <row r="17">
      <c r="A17" s="12" t="inlineStr">
        <is>
          <t>Cash earnings before tax</t>
        </is>
      </c>
      <c r="B17" s="13" t="n">
        <v>3641</v>
      </c>
      <c r="C17" s="13" t="n">
        <v>10681</v>
      </c>
      <c r="D17" s="13" t="n">
        <v>11049</v>
      </c>
      <c r="E17" s="13" t="n">
        <v>11522</v>
      </c>
      <c r="F17" s="13" t="n">
        <v>12090</v>
      </c>
      <c r="G17" s="13" t="n">
        <v>12657</v>
      </c>
      <c r="H17" s="13" t="n">
        <v>13100</v>
      </c>
    </row>
    <row r="18">
      <c r="A18" s="12" t="inlineStr">
        <is>
          <t>Income tax expense</t>
        </is>
      </c>
      <c r="B18" s="14" t="n">
        <v>-1092</v>
      </c>
      <c r="C18" s="14" t="n">
        <v>-3204</v>
      </c>
      <c r="D18" s="14" t="n">
        <v>-3315</v>
      </c>
      <c r="E18" s="14" t="n">
        <v>-3457</v>
      </c>
      <c r="F18" s="14" t="n">
        <v>-3627</v>
      </c>
      <c r="G18" s="14" t="n">
        <v>-3797</v>
      </c>
      <c r="H18" s="14" t="n">
        <v>-3930</v>
      </c>
    </row>
    <row r="19">
      <c r="A19" s="30" t="inlineStr">
        <is>
          <t>Cash NPAT</t>
        </is>
      </c>
      <c r="B19" s="40" t="n">
        <v>2549</v>
      </c>
      <c r="C19" s="40" t="n">
        <v>7477</v>
      </c>
      <c r="D19" s="40" t="n">
        <v>7734</v>
      </c>
      <c r="E19" s="40" t="n">
        <v>8065</v>
      </c>
      <c r="F19" s="40" t="n">
        <v>8463</v>
      </c>
      <c r="G19" s="40" t="n">
        <v>8860</v>
      </c>
      <c r="H19" s="40" t="n">
        <v>9170</v>
      </c>
    </row>
    <row r="21">
      <c r="A21" s="20" t="inlineStr">
        <is>
          <t>Cash EPS (AUD)</t>
        </is>
      </c>
      <c r="B21" s="41" t="n">
        <v>0.746</v>
      </c>
      <c r="C21" s="42" t="n">
        <v>2.19</v>
      </c>
      <c r="D21" s="42" t="n">
        <v>2.26</v>
      </c>
      <c r="E21" s="42" t="n">
        <v>2.36</v>
      </c>
      <c r="F21" s="42" t="n">
        <v>2.48</v>
      </c>
      <c r="G21" s="42" t="n">
        <v>2.59</v>
      </c>
      <c r="H21" s="42" t="n">
        <v>2.69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9" t="inlineStr">
        <is>
          <t>Capital, dividends, and CET1 constraint per §15.5</t>
        </is>
      </c>
    </row>
    <row r="3">
      <c r="A3" s="10" t="inlineStr">
        <is>
          <t>Equity trajectory and CET1 generation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32" t="inlineStr">
        <is>
          <t>Line</t>
        </is>
      </c>
      <c r="B4" s="32" t="inlineStr">
        <is>
          <t>Stub (0.35y)</t>
        </is>
      </c>
      <c r="C4" s="32" t="inlineStr">
        <is>
          <t>Y1 FY27</t>
        </is>
      </c>
      <c r="D4" s="32" t="inlineStr">
        <is>
          <t>Y2 FY28</t>
        </is>
      </c>
      <c r="E4" s="32" t="inlineStr">
        <is>
          <t>Y3 FY29</t>
        </is>
      </c>
      <c r="F4" s="32" t="inlineStr">
        <is>
          <t>Y4 FY30</t>
        </is>
      </c>
      <c r="G4" s="32" t="inlineStr">
        <is>
          <t>Y5 FY31</t>
        </is>
      </c>
    </row>
    <row r="5">
      <c r="A5" s="12" t="inlineStr">
        <is>
          <t>Opening book equity</t>
        </is>
      </c>
      <c r="B5" s="13" t="n">
        <v>72825</v>
      </c>
      <c r="C5" s="13" t="n">
        <v>73462</v>
      </c>
      <c r="D5" s="13" t="n">
        <v>75331</v>
      </c>
      <c r="E5" s="13" t="n">
        <v>77265</v>
      </c>
      <c r="F5" s="13" t="n">
        <v>79281</v>
      </c>
      <c r="G5" s="13" t="n">
        <v>81397</v>
      </c>
    </row>
    <row r="6">
      <c r="A6" s="12" t="inlineStr">
        <is>
          <t>Cash NPAT</t>
        </is>
      </c>
      <c r="B6" s="13" t="n">
        <v>2549</v>
      </c>
      <c r="C6" s="13" t="n">
        <v>7477</v>
      </c>
      <c r="D6" s="13" t="n">
        <v>7734</v>
      </c>
      <c r="E6" s="13" t="n">
        <v>8065</v>
      </c>
      <c r="F6" s="13" t="n">
        <v>8463</v>
      </c>
      <c r="G6" s="13" t="n">
        <v>8860</v>
      </c>
    </row>
    <row r="7">
      <c r="A7" s="12" t="inlineStr">
        <is>
          <t>Less: dividends paid</t>
        </is>
      </c>
      <c r="B7" s="14" t="n">
        <v>-1912</v>
      </c>
      <c r="C7" s="14" t="n">
        <v>-5607</v>
      </c>
      <c r="D7" s="14" t="n">
        <v>-5801</v>
      </c>
      <c r="E7" s="14" t="n">
        <v>-6049</v>
      </c>
      <c r="F7" s="14" t="n">
        <v>-6347</v>
      </c>
      <c r="G7" s="14" t="n">
        <v>-6645</v>
      </c>
    </row>
    <row r="8">
      <c r="A8" s="17" t="inlineStr">
        <is>
          <t>Retained earnings</t>
        </is>
      </c>
      <c r="B8" s="43" t="n">
        <v>637</v>
      </c>
      <c r="C8" s="43" t="n">
        <v>1869</v>
      </c>
      <c r="D8" s="43" t="n">
        <v>1934</v>
      </c>
      <c r="E8" s="43" t="n">
        <v>2016</v>
      </c>
      <c r="F8" s="43" t="n">
        <v>2116</v>
      </c>
      <c r="G8" s="43" t="n">
        <v>2215</v>
      </c>
    </row>
    <row r="9">
      <c r="A9" s="20" t="inlineStr">
        <is>
          <t>Closing book equity</t>
        </is>
      </c>
      <c r="B9" s="37" t="n">
        <v>73462</v>
      </c>
      <c r="C9" s="37" t="n">
        <v>75331</v>
      </c>
      <c r="D9" s="37" t="n">
        <v>77265</v>
      </c>
      <c r="E9" s="37" t="n">
        <v>79281</v>
      </c>
      <c r="F9" s="37" t="n">
        <v>81397</v>
      </c>
      <c r="G9" s="37" t="n">
        <v>83612</v>
      </c>
    </row>
    <row r="10">
      <c r="A10" s="12" t="inlineStr">
        <is>
          <t xml:space="preserve">  Payout ratio applied</t>
        </is>
      </c>
      <c r="B10" s="44" t="n">
        <v>0.75</v>
      </c>
      <c r="C10" s="44" t="n">
        <v>0.75</v>
      </c>
      <c r="D10" s="44" t="n">
        <v>0.75</v>
      </c>
      <c r="E10" s="44" t="n">
        <v>0.75</v>
      </c>
      <c r="F10" s="44" t="n">
        <v>0.75</v>
      </c>
      <c r="G10" s="44" t="n">
        <v>0.75</v>
      </c>
    </row>
    <row r="11">
      <c r="A11" s="17" t="inlineStr">
        <is>
          <t xml:space="preserve">  ROE (NPAT / avg equity)</t>
        </is>
      </c>
      <c r="B11" s="25" t="n">
        <v>0.09955846712081975</v>
      </c>
      <c r="C11" s="25" t="n">
        <v>0.1004961309075863</v>
      </c>
      <c r="D11" s="25" t="n">
        <v>0.1013697473159127</v>
      </c>
      <c r="E11" s="25" t="n">
        <v>0.1030393082868606</v>
      </c>
      <c r="F11" s="25" t="n">
        <v>0.1053398322091452</v>
      </c>
      <c r="G11" s="25" t="n">
        <v>0.1073895870165581</v>
      </c>
    </row>
    <row r="13">
      <c r="A13" s="10" t="inlineStr">
        <is>
          <t>CET1 capital constraint check per §15.5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32" t="inlineStr">
        <is>
          <t>Line</t>
        </is>
      </c>
      <c r="B14" s="32" t="inlineStr">
        <is>
          <t>Stub (0.35y)</t>
        </is>
      </c>
      <c r="C14" s="32" t="inlineStr">
        <is>
          <t>Y1 FY27</t>
        </is>
      </c>
      <c r="D14" s="32" t="inlineStr">
        <is>
          <t>Y2 FY28</t>
        </is>
      </c>
      <c r="E14" s="32" t="inlineStr">
        <is>
          <t>Y3 FY29</t>
        </is>
      </c>
      <c r="F14" s="32" t="inlineStr">
        <is>
          <t>Y4 FY30</t>
        </is>
      </c>
      <c r="G14" s="32" t="inlineStr">
        <is>
          <t>Y5 FY31</t>
        </is>
      </c>
    </row>
    <row r="15">
      <c r="A15" s="12" t="inlineStr">
        <is>
          <t>Opening CET1 capital</t>
        </is>
      </c>
      <c r="B15" s="13" t="n">
        <v>56936</v>
      </c>
      <c r="C15" s="13" t="n">
        <v>57573</v>
      </c>
      <c r="D15" s="13" t="n">
        <v>59442</v>
      </c>
      <c r="E15" s="13" t="n">
        <v>61376</v>
      </c>
      <c r="F15" s="13" t="n">
        <v>63392</v>
      </c>
      <c r="G15" s="13" t="n">
        <v>65508</v>
      </c>
    </row>
    <row r="16">
      <c r="A16" s="12" t="inlineStr">
        <is>
          <t>Plus: retained earnings</t>
        </is>
      </c>
      <c r="B16" s="13" t="n">
        <v>637</v>
      </c>
      <c r="C16" s="13" t="n">
        <v>1869</v>
      </c>
      <c r="D16" s="13" t="n">
        <v>1934</v>
      </c>
      <c r="E16" s="13" t="n">
        <v>2016</v>
      </c>
      <c r="F16" s="13" t="n">
        <v>2116</v>
      </c>
      <c r="G16" s="13" t="n">
        <v>2215</v>
      </c>
    </row>
    <row r="17">
      <c r="A17" s="12" t="inlineStr">
        <is>
          <t>Closing CET1 capital</t>
        </is>
      </c>
      <c r="B17" s="13" t="n">
        <v>57573</v>
      </c>
      <c r="C17" s="13" t="n">
        <v>59442</v>
      </c>
      <c r="D17" s="13" t="n">
        <v>61376</v>
      </c>
      <c r="E17" s="13" t="n">
        <v>63392</v>
      </c>
      <c r="F17" s="13" t="n">
        <v>65508</v>
      </c>
      <c r="G17" s="13" t="n">
        <v>67723</v>
      </c>
    </row>
    <row r="18">
      <c r="A18" s="12" t="inlineStr">
        <is>
          <t>Closing RWA</t>
        </is>
      </c>
      <c r="B18" s="13" t="n">
        <v>465562</v>
      </c>
      <c r="C18" s="13" t="n">
        <v>486512</v>
      </c>
      <c r="D18" s="13" t="n">
        <v>508405</v>
      </c>
      <c r="E18" s="13" t="n">
        <v>531283</v>
      </c>
      <c r="F18" s="13" t="n">
        <v>555191</v>
      </c>
      <c r="G18" s="13" t="n">
        <v>580175</v>
      </c>
    </row>
    <row r="19">
      <c r="A19" s="30" t="inlineStr">
        <is>
          <t>CET1 ratio</t>
        </is>
      </c>
      <c r="B19" s="31" t="n">
        <v>0.123663857154175</v>
      </c>
      <c r="C19" s="31" t="n">
        <v>0.122180550741042</v>
      </c>
      <c r="D19" s="31" t="n">
        <v>0.1207224137075022</v>
      </c>
      <c r="E19" s="31" t="n">
        <v>0.1193189907866444</v>
      </c>
      <c r="F19" s="31" t="n">
        <v>0.1179916584165052</v>
      </c>
      <c r="G19" s="31" t="n">
        <v>0.1167285437285817</v>
      </c>
    </row>
    <row r="20">
      <c r="A20" s="12" t="inlineStr">
        <is>
          <t>Management target (upper)</t>
        </is>
      </c>
      <c r="B20" s="19" t="n">
        <v>0.115</v>
      </c>
      <c r="C20" s="19" t="n">
        <v>0.115</v>
      </c>
      <c r="D20" s="19" t="n">
        <v>0.115</v>
      </c>
      <c r="E20" s="19" t="n">
        <v>0.115</v>
      </c>
      <c r="F20" s="19" t="n">
        <v>0.115</v>
      </c>
      <c r="G20" s="19" t="n">
        <v>0.115</v>
      </c>
    </row>
    <row r="21">
      <c r="A21" s="17" t="inlineStr">
        <is>
          <t>Buffer above target (bps)</t>
        </is>
      </c>
      <c r="B21" s="45" t="n">
        <v>86.63857154175031</v>
      </c>
      <c r="C21" s="45" t="n">
        <v>71.80550741041999</v>
      </c>
      <c r="D21" s="45" t="n">
        <v>57.22413707502233</v>
      </c>
      <c r="E21" s="45" t="n">
        <v>43.18990786644355</v>
      </c>
      <c r="F21" s="45" t="n">
        <v>29.91658416505241</v>
      </c>
      <c r="G21" s="45" t="n">
        <v>17.28543728581722</v>
      </c>
    </row>
    <row r="23">
      <c r="A23" s="35" t="inlineStr">
        <is>
          <t>Note: under Muddle Through the CET1 trajectory remains comfortably above the 11.5% management target throughout the forecast horizon, validating the 75% payout assumption. Under stress scenarios (Stagflation, Disorderly Climate) the payout would be forced lower to maintain CET1 — captured in those scenarios' workbook.</t>
        </is>
      </c>
    </row>
  </sheetData>
  <mergeCells count="1">
    <mergeCell ref="A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5" customWidth="1" min="3" max="3"/>
  </cols>
  <sheetData>
    <row r="1">
      <c r="A1" s="9" t="inlineStr">
        <is>
          <t>Per-share value — DDM + terminal value per §15.8</t>
        </is>
      </c>
    </row>
    <row r="2">
      <c r="A2" s="35" t="inlineStr">
        <is>
          <t>Discount rate: Re = 8.05% (§15.2 + §3.5.3 peer-triangulated β = 0.75). Mid-period discounting.</t>
        </is>
      </c>
    </row>
    <row r="4">
      <c r="A4" s="10" t="inlineStr">
        <is>
          <t>PV of dividends — explicit period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32" t="inlineStr">
        <is>
          <t>Line</t>
        </is>
      </c>
      <c r="B5" s="32" t="inlineStr">
        <is>
          <t>Stub (0.35y)</t>
        </is>
      </c>
      <c r="C5" s="32" t="inlineStr">
        <is>
          <t>Y1 FY27</t>
        </is>
      </c>
      <c r="D5" s="32" t="inlineStr">
        <is>
          <t>Y2 FY28</t>
        </is>
      </c>
      <c r="E5" s="32" t="inlineStr">
        <is>
          <t>Y3 FY29</t>
        </is>
      </c>
      <c r="F5" s="32" t="inlineStr">
        <is>
          <t>Y4 FY30</t>
        </is>
      </c>
      <c r="G5" s="32" t="inlineStr">
        <is>
          <t>Y5 FY31</t>
        </is>
      </c>
    </row>
    <row r="6">
      <c r="A6" s="12" t="inlineStr">
        <is>
          <t>Dividends (per Capital &amp; Dividends sheet)</t>
        </is>
      </c>
      <c r="B6" s="13" t="n">
        <v>1912</v>
      </c>
      <c r="C6" s="13" t="n">
        <v>5607</v>
      </c>
      <c r="D6" s="13" t="n">
        <v>5801</v>
      </c>
      <c r="E6" s="13" t="n">
        <v>6049</v>
      </c>
      <c r="F6" s="13" t="n">
        <v>6347</v>
      </c>
      <c r="G6" s="13" t="n">
        <v>6645</v>
      </c>
    </row>
    <row r="7">
      <c r="A7" s="12" t="inlineStr">
        <is>
          <t>Mid-period time (years)</t>
        </is>
      </c>
      <c r="B7" s="46" t="n">
        <v>0.175</v>
      </c>
      <c r="C7" s="28" t="n">
        <v>0.85</v>
      </c>
      <c r="D7" s="28" t="n">
        <v>1.85</v>
      </c>
      <c r="E7" s="28" t="n">
        <v>2.85</v>
      </c>
      <c r="F7" s="28" t="n">
        <v>3.85</v>
      </c>
      <c r="G7" s="28" t="n">
        <v>4.85</v>
      </c>
    </row>
    <row r="8">
      <c r="A8" s="12" t="inlineStr">
        <is>
          <t>Discount factor</t>
        </is>
      </c>
      <c r="B8" s="47" t="n">
        <v>0.9865</v>
      </c>
      <c r="C8" s="47" t="n">
        <v>0.9363</v>
      </c>
      <c r="D8" s="47" t="n">
        <v>0.8666</v>
      </c>
      <c r="E8" s="47" t="n">
        <v>0.802</v>
      </c>
      <c r="F8" s="47" t="n">
        <v>0.7422</v>
      </c>
      <c r="G8" s="47" t="n">
        <v>0.6869</v>
      </c>
    </row>
    <row r="9">
      <c r="A9" s="15" t="inlineStr">
        <is>
          <t>PV of dividends</t>
        </is>
      </c>
      <c r="B9" s="16" t="n">
        <v>1886</v>
      </c>
      <c r="C9" s="16" t="n">
        <v>5250</v>
      </c>
      <c r="D9" s="16" t="n">
        <v>5027</v>
      </c>
      <c r="E9" s="16" t="n">
        <v>4851</v>
      </c>
      <c r="F9" s="16" t="n">
        <v>4711</v>
      </c>
      <c r="G9" s="16" t="n">
        <v>4565</v>
      </c>
    </row>
    <row r="11">
      <c r="A11" s="30" t="inlineStr">
        <is>
          <t>Sum of PV of explicit-period dividends</t>
        </is>
      </c>
      <c r="B11" s="40" t="n">
        <v>26290</v>
      </c>
      <c r="C11" s="30" t="inlineStr">
        <is>
          <t>AUD m</t>
        </is>
      </c>
    </row>
    <row r="13">
      <c r="A13" s="10" t="inlineStr">
        <is>
          <t>Terminal value per §15.8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Closing book equity at end Y5 (FY31)</t>
        </is>
      </c>
      <c r="B14" s="13" t="n">
        <v>83612</v>
      </c>
      <c r="C14" s="12" t="inlineStr">
        <is>
          <t>AUD m</t>
        </is>
      </c>
    </row>
    <row r="15">
      <c r="A15" s="12" t="inlineStr">
        <is>
          <t>Terminal ROE (cyclically adjusted)</t>
        </is>
      </c>
      <c r="B15" s="26" t="n">
        <v>0.105</v>
      </c>
      <c r="C15" s="12" t="inlineStr">
        <is>
          <t>10.5%, mid Big Four range</t>
        </is>
      </c>
    </row>
    <row r="16">
      <c r="A16" s="12" t="inlineStr">
        <is>
          <t>Terminal growth g</t>
        </is>
      </c>
      <c r="B16" s="26" t="n">
        <v>0.035</v>
      </c>
      <c r="C16" s="12" t="inlineStr">
        <is>
          <t>3.5% nominal</t>
        </is>
      </c>
    </row>
    <row r="17">
      <c r="A17" s="12" t="inlineStr">
        <is>
          <t>Cost of equity Ke</t>
        </is>
      </c>
      <c r="B17" s="19" t="n">
        <v>0.0805</v>
      </c>
      <c r="C17" s="12" t="inlineStr">
        <is>
          <t>Per §15.2</t>
        </is>
      </c>
    </row>
    <row r="18">
      <c r="A18" s="15" t="inlineStr">
        <is>
          <t>Terminal value at end Y5</t>
        </is>
      </c>
      <c r="B18" s="16" t="n">
        <v>128634</v>
      </c>
      <c r="C18" s="15">
        <f> Equity × (ROE_T − g) / (Ke − g)</f>
        <v/>
      </c>
    </row>
    <row r="19">
      <c r="A19" s="12" t="inlineStr">
        <is>
          <t>Discount factor at end Y5 (t = 5.35)</t>
        </is>
      </c>
      <c r="B19" s="47" t="n">
        <v>0.6609</v>
      </c>
      <c r="C19" s="12" t="inlineStr"/>
    </row>
    <row r="20">
      <c r="A20" s="30" t="inlineStr">
        <is>
          <t>PV of terminal value</t>
        </is>
      </c>
      <c r="B20" s="40" t="n">
        <v>85009</v>
      </c>
      <c r="C20" s="30" t="inlineStr">
        <is>
          <t>AUD m</t>
        </is>
      </c>
    </row>
    <row r="22">
      <c r="A22" s="10" t="inlineStr">
        <is>
          <t>Equity value bridge per §15.7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Sum of PV of explicit-period dividends</t>
        </is>
      </c>
      <c r="B23" s="13" t="n">
        <v>26290</v>
      </c>
      <c r="C23" s="12" t="inlineStr"/>
    </row>
    <row r="24">
      <c r="A24" s="12" t="inlineStr">
        <is>
          <t>Plus: PV of terminal value</t>
        </is>
      </c>
      <c r="B24" s="13" t="n">
        <v>85009</v>
      </c>
      <c r="C24" s="12" t="inlineStr">
        <is>
          <t>Terminal share of value = 76.4%</t>
        </is>
      </c>
    </row>
    <row r="25">
      <c r="A25" s="15" t="inlineStr">
        <is>
          <t>Total value of equity claim</t>
        </is>
      </c>
      <c r="B25" s="16" t="n">
        <v>111298</v>
      </c>
      <c r="C25" s="15" t="inlineStr">
        <is>
          <t>AUD m</t>
        </is>
      </c>
    </row>
    <row r="26">
      <c r="A26" s="12" t="inlineStr">
        <is>
          <t>Less: AT1 hybrid outstanding (§15.7(a))</t>
        </is>
      </c>
      <c r="B26" s="14" t="n">
        <v>-8522</v>
      </c>
      <c r="C26" s="12" t="inlineStr">
        <is>
          <t>Capital Notes; senior to ordinary equity</t>
        </is>
      </c>
    </row>
    <row r="27">
      <c r="A27" s="15" t="inlineStr">
        <is>
          <t>Ordinary equity value</t>
        </is>
      </c>
      <c r="B27" s="16" t="n">
        <v>102776</v>
      </c>
      <c r="C27" s="15" t="inlineStr"/>
    </row>
    <row r="28">
      <c r="A28" s="12" t="inlineStr">
        <is>
          <t>Divided by shares outstanding (m)</t>
        </is>
      </c>
      <c r="B28" s="48" t="n">
        <v>3414.9</v>
      </c>
      <c r="C28" s="12" t="inlineStr">
        <is>
          <t>EODHD-verified</t>
        </is>
      </c>
    </row>
    <row r="29">
      <c r="A29" s="30" t="inlineStr">
        <is>
          <t>VALUE PER SHARE</t>
        </is>
      </c>
      <c r="B29" s="49" t="n">
        <v>30.1</v>
      </c>
      <c r="C29" s="30" t="inlineStr"/>
    </row>
    <row r="31">
      <c r="A31" s="10" t="inlineStr">
        <is>
          <t>Market check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Market reference price (15 June 2026)</t>
        </is>
      </c>
      <c r="B32" s="50" t="n">
        <v>35.32</v>
      </c>
      <c r="C32" s="12">
        <f> 120,615m mcap / 3,414.9m shares</f>
        <v/>
      </c>
    </row>
    <row r="33">
      <c r="A33" s="30" t="inlineStr">
        <is>
          <t>Discount / (premium) vs market</t>
        </is>
      </c>
      <c r="B33" s="51" t="n">
        <v>-0.1478921177767178</v>
      </c>
      <c r="C33" s="30" t="inlineStr"/>
    </row>
    <row r="34">
      <c r="A34" s="12" t="inlineStr">
        <is>
          <t>Sell-side consensus 12-month target</t>
        </is>
      </c>
      <c r="B34" s="50" t="n">
        <v>33.45</v>
      </c>
      <c r="C34" s="12" t="inlineStr">
        <is>
          <t>EODHD</t>
        </is>
      </c>
    </row>
    <row r="35">
      <c r="A35" s="12" t="inlineStr">
        <is>
          <t>vs sell-side target</t>
        </is>
      </c>
      <c r="B35" s="26" t="n">
        <v>-0.1002555934192429</v>
      </c>
      <c r="C35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  <col width="35" customWidth="1" min="4" max="4"/>
  </cols>
  <sheetData>
    <row r="1">
      <c r="A1" s="9" t="inlineStr">
        <is>
          <t>Source documents per §14</t>
        </is>
      </c>
    </row>
    <row r="3">
      <c r="A3" s="32" t="inlineStr">
        <is>
          <t>Anchor</t>
        </is>
      </c>
      <c r="B3" s="32" t="inlineStr">
        <is>
          <t>Value</t>
        </is>
      </c>
      <c r="C3" s="32" t="inlineStr">
        <is>
          <t>Source document</t>
        </is>
      </c>
      <c r="D3" s="32" t="inlineStr">
        <is>
          <t>Page / sheet ref</t>
        </is>
      </c>
    </row>
    <row r="4">
      <c r="A4" s="12" t="inlineStr">
        <is>
          <t>Net interest income 1H26</t>
        </is>
      </c>
      <c r="B4" s="12" t="inlineStr">
        <is>
          <t>AUD 9,763m</t>
        </is>
      </c>
      <c r="C4" s="12" t="inlineStr">
        <is>
          <t>wbc-1H26-results-key-financial-information.xlsx</t>
        </is>
      </c>
      <c r="D4" s="12" t="inlineStr">
        <is>
          <t>Sheet 1.5</t>
        </is>
      </c>
    </row>
    <row r="5">
      <c r="A5" s="12" t="inlineStr">
        <is>
          <t>NIM 1H26 (ex Notable)</t>
        </is>
      </c>
      <c r="B5" s="12" t="inlineStr">
        <is>
          <t>1.89%</t>
        </is>
      </c>
      <c r="C5" s="12" t="inlineStr">
        <is>
          <t>wbc-1H26-financial-results-announcement.pdf</t>
        </is>
      </c>
      <c r="D5" s="12" t="inlineStr">
        <is>
          <t>p.8 Group performance</t>
        </is>
      </c>
    </row>
    <row r="6">
      <c r="A6" s="12" t="inlineStr">
        <is>
          <t>Average interest-earning assets 1H26</t>
        </is>
      </c>
      <c r="B6" s="12" t="inlineStr">
        <is>
          <t>AUD 1,035,226m</t>
        </is>
      </c>
      <c r="C6" s="12" t="inlineStr">
        <is>
          <t>wbc-1H26-results-key-financial-information.xlsx</t>
        </is>
      </c>
      <c r="D6" s="12" t="inlineStr">
        <is>
          <t>Sheet 1.5</t>
        </is>
      </c>
    </row>
    <row r="7">
      <c r="A7" s="12" t="inlineStr">
        <is>
          <t>Through-cycle NIM (FY22-FY25)</t>
        </is>
      </c>
      <c r="B7" s="12" t="inlineStr">
        <is>
          <t>1.94%</t>
        </is>
      </c>
      <c r="C7" s="12" t="inlineStr">
        <is>
          <t>Historical pack: FY22, FY23, FY24, FY25 results</t>
        </is>
      </c>
      <c r="D7" s="12" t="inlineStr">
        <is>
          <t>wbc_documents.yaml — wbc_historical_results_pack</t>
        </is>
      </c>
    </row>
    <row r="8">
      <c r="A8" s="12" t="inlineStr">
        <is>
          <t>Operating expenses 1H26</t>
        </is>
      </c>
      <c r="B8" s="12" t="inlineStr">
        <is>
          <t>AUD 5,830m</t>
        </is>
      </c>
      <c r="C8" s="12" t="inlineStr">
        <is>
          <t>wbc-1H26-results-key-financial-information.xlsx</t>
        </is>
      </c>
      <c r="D8" s="12" t="inlineStr">
        <is>
          <t>Sheet 1.2</t>
        </is>
      </c>
    </row>
    <row r="9">
      <c r="A9" s="12" t="inlineStr">
        <is>
          <t>Credit impairment charges 1H26</t>
        </is>
      </c>
      <c r="B9" s="12" t="inlineStr">
        <is>
          <t>AUD 443m</t>
        </is>
      </c>
      <c r="C9" s="12" t="inlineStr">
        <is>
          <t>wbc-1H26-results-key-financial-information.xlsx</t>
        </is>
      </c>
      <c r="D9" s="12" t="inlineStr">
        <is>
          <t>Sheet 1.13</t>
        </is>
      </c>
    </row>
    <row r="10">
      <c r="A10" s="12" t="inlineStr">
        <is>
          <t>Through-cycle credit loss anchor</t>
        </is>
      </c>
      <c r="B10" s="12" t="inlineStr">
        <is>
          <t>18bps</t>
        </is>
      </c>
      <c r="C10" s="12" t="inlineStr">
        <is>
          <t>Big Four range 15-25bps; mortgage-heavy at low end</t>
        </is>
      </c>
      <c r="D10" s="12" t="inlineStr">
        <is>
          <t>Archetype bank_archetype.credit_cycle_anchor</t>
        </is>
      </c>
    </row>
    <row r="11">
      <c r="A11" s="12" t="inlineStr">
        <is>
          <t>CET1 (Level 2)</t>
        </is>
      </c>
      <c r="B11" s="12" t="inlineStr">
        <is>
          <t>12.42%</t>
        </is>
      </c>
      <c r="C11" s="12" t="inlineStr">
        <is>
          <t>wbc-1H26-results-key-financial-information.xlsx</t>
        </is>
      </c>
      <c r="D11" s="12" t="inlineStr">
        <is>
          <t>Sheet 1.17</t>
        </is>
      </c>
    </row>
    <row r="12">
      <c r="A12" s="12" t="inlineStr">
        <is>
          <t>Total RWA (Level 2)</t>
        </is>
      </c>
      <c r="B12" s="12" t="inlineStr">
        <is>
          <t>AUD 458,343m</t>
        </is>
      </c>
      <c r="C12" s="12" t="inlineStr">
        <is>
          <t>wbc-1H26-results-key-financial-information.xlsx</t>
        </is>
      </c>
      <c r="D12" s="12" t="inlineStr">
        <is>
          <t>Sheet 1.17</t>
        </is>
      </c>
    </row>
    <row r="13">
      <c r="A13" s="12" t="inlineStr">
        <is>
          <t>AT1 hybrid outstanding</t>
        </is>
      </c>
      <c r="B13" s="12" t="inlineStr">
        <is>
          <t>AUD 8,522m</t>
        </is>
      </c>
      <c r="C13" s="12" t="inlineStr">
        <is>
          <t>wbc-1H26-results-key-financial-information.xlsx</t>
        </is>
      </c>
      <c r="D13" s="12" t="inlineStr">
        <is>
          <t>Sheet 1.17</t>
        </is>
      </c>
    </row>
    <row r="14">
      <c r="A14" s="12" t="inlineStr">
        <is>
          <t>Shares outstanding</t>
        </is>
      </c>
      <c r="B14" s="12" t="inlineStr">
        <is>
          <t>3,414,907,347</t>
        </is>
      </c>
      <c r="C14" s="12" t="inlineStr">
        <is>
          <t>WBC EODHD fundamentals 15 June 2026</t>
        </is>
      </c>
      <c r="D14" s="12" t="inlineStr">
        <is>
          <t>data/financials/wbc_eodhd_fundamentals_2026-06-15.csv</t>
        </is>
      </c>
    </row>
    <row r="15">
      <c r="A15" s="12" t="inlineStr">
        <is>
          <t>Equity beta (measured)</t>
        </is>
      </c>
      <c r="B15" s="12" t="inlineStr">
        <is>
          <t>0.73</t>
        </is>
      </c>
      <c r="C15" s="12" t="inlineStr">
        <is>
          <t>WBC EODHD fundamentals</t>
        </is>
      </c>
      <c r="D15" s="12" t="inlineStr">
        <is>
          <t>Technicals section</t>
        </is>
      </c>
    </row>
    <row r="16">
      <c r="A16" s="12" t="inlineStr">
        <is>
          <t>Equity beta (selected)</t>
        </is>
      </c>
      <c r="B16" s="12" t="inlineStr">
        <is>
          <t>0.75</t>
        </is>
      </c>
      <c r="C16" s="12" t="inlineStr">
        <is>
          <t>§3.5.3 peer-triangulation; CBA/NAB/WBC cluster midpoint</t>
        </is>
      </c>
      <c r="D16" s="12" t="inlineStr">
        <is>
          <t>wbc.yaml bank_specifics.cost_of_equity_build</t>
        </is>
      </c>
    </row>
    <row r="17">
      <c r="A17" s="12" t="inlineStr">
        <is>
          <t>Peer betas (CBA, NAB, ANZ, MQG)</t>
        </is>
      </c>
      <c r="B17" s="12" t="inlineStr">
        <is>
          <t>0.80 / 0.72 / 0.57 / 0.88</t>
        </is>
      </c>
      <c r="C17" s="12" t="inlineStr">
        <is>
          <t>Peer EODHD fundamentals 15 June 2026</t>
        </is>
      </c>
      <c r="D17" s="12" t="inlineStr">
        <is>
          <t>data/financials/{cba,nab,anz,mqg}_eodhd_fundamentals_2026-06-15.csv</t>
        </is>
      </c>
    </row>
    <row r="18">
      <c r="A18" s="12" t="inlineStr">
        <is>
          <t>Risk-free rate</t>
        </is>
      </c>
      <c r="B18" s="12" t="inlineStr">
        <is>
          <t>4.30%</t>
        </is>
      </c>
      <c r="C18" s="12" t="inlineStr">
        <is>
          <t>10y AU Commonwealth bond yield, May 2026</t>
        </is>
      </c>
      <c r="D18" s="12" t="inlineStr">
        <is>
          <t>Same as §3.5.2</t>
        </is>
      </c>
    </row>
    <row r="19">
      <c r="A19" s="12" t="inlineStr">
        <is>
          <t>Equity risk premium</t>
        </is>
      </c>
      <c r="B19" s="12" t="inlineStr">
        <is>
          <t>5.00%</t>
        </is>
      </c>
      <c r="C19" s="12" t="inlineStr">
        <is>
          <t>Damodaran-style mature-Australia</t>
        </is>
      </c>
      <c r="D19" s="12" t="inlineStr">
        <is>
          <t>Same as §3.5.2</t>
        </is>
      </c>
    </row>
    <row r="20">
      <c r="A20" s="12" t="inlineStr">
        <is>
          <t>Market reference price</t>
        </is>
      </c>
      <c r="B20" s="12" t="inlineStr">
        <is>
          <t>AUD 35.32</t>
        </is>
      </c>
      <c r="C20" s="12" t="inlineStr">
        <is>
          <t>WBC EODHD fundamentals (= mcap / shares)</t>
        </is>
      </c>
      <c r="D20" s="12" t="inlineStr">
        <is>
          <t>WBC EODHD</t>
        </is>
      </c>
    </row>
    <row r="21">
      <c r="A21" s="12" t="inlineStr">
        <is>
          <t>Sell-side consensus target</t>
        </is>
      </c>
      <c r="B21" s="12" t="inlineStr">
        <is>
          <t>AUD 33.45</t>
        </is>
      </c>
      <c r="C21" s="12" t="inlineStr">
        <is>
          <t>WBC EODHD fundamentals (Wall Street Target Price)</t>
        </is>
      </c>
      <c r="D21" s="12" t="inlineStr">
        <is>
          <t>WBC EODHD</t>
        </is>
      </c>
    </row>
    <row r="22">
      <c r="A22" s="12" t="inlineStr">
        <is>
          <t>Book value per share</t>
        </is>
      </c>
      <c r="B22" s="12" t="inlineStr">
        <is>
          <t>AUD 21.31</t>
        </is>
      </c>
      <c r="C22" s="12" t="inlineStr">
        <is>
          <t>WBC EODHD fundamentals</t>
        </is>
      </c>
      <c r="D22" s="12" t="inlineStr">
        <is>
          <t>WBC EODHD</t>
        </is>
      </c>
    </row>
    <row r="23">
      <c r="A23" s="12" t="inlineStr">
        <is>
          <t>ROE TTM</t>
        </is>
      </c>
      <c r="B23" s="12" t="inlineStr">
        <is>
          <t>9.8%</t>
        </is>
      </c>
      <c r="C23" s="12" t="inlineStr">
        <is>
          <t>WBC EODHD fundamentals</t>
        </is>
      </c>
      <c r="D23" s="12" t="inlineStr">
        <is>
          <t>WBC EODHD</t>
        </is>
      </c>
    </row>
    <row r="24">
      <c r="A24" s="12" t="inlineStr">
        <is>
          <t>Terminal ROE assumption</t>
        </is>
      </c>
      <c r="B24" s="12" t="inlineStr">
        <is>
          <t>10.5%</t>
        </is>
      </c>
      <c r="C24" s="12" t="inlineStr">
        <is>
          <t>Mid Big Four range 10-13%</t>
        </is>
      </c>
      <c r="D24" s="12" t="inlineStr">
        <is>
          <t>Archetype bank_archetype.terminal_roe_anchor</t>
        </is>
      </c>
    </row>
    <row r="25">
      <c r="A25" s="12" t="inlineStr">
        <is>
          <t>Terminal asset growth g</t>
        </is>
      </c>
      <c r="B25" s="12" t="inlineStr">
        <is>
          <t>3.5%</t>
        </is>
      </c>
      <c r="C25" s="12" t="inlineStr">
        <is>
          <t>Nominal GDP-adjacent</t>
        </is>
      </c>
      <c r="D25" s="12" t="inlineStr">
        <is>
          <t>Internal assumption per methodology §15.8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2026-06-16T06:42:54Z</dcterms:created>
  <dcterms:modified xmlns:dcterms="http://purl.org/dc/terms/" xmlns:xsi="http://www.w3.org/2001/XMLSchema-instance" xsi:type="dcterms:W3CDTF">2026-06-16T06:42:54Z</dcterms:modified>
</cp:coreProperties>
</file>