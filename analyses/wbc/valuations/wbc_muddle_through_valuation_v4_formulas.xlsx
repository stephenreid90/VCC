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 Forecast" sheetId="3" state="visible" r:id="rId3"/>
    <sheet xmlns:r="http://schemas.openxmlformats.org/officeDocument/2006/relationships" name="Per-Share Val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AUD &quot;0.00"/>
    <numFmt numFmtId="165" formatCode="0.0%"/>
    <numFmt numFmtId="166" formatCode="+0.00%;-0.00%"/>
    <numFmt numFmtId="167" formatCode="+0.0000%;-0.0000%"/>
    <numFmt numFmtId="168" formatCode="#,##0.0"/>
    <numFmt numFmtId="169" formatCode="#,##0;(#,##0)"/>
    <numFmt numFmtId="170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2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1F4E78"/>
      <sz val="14"/>
    </font>
    <font>
      <name val="Arial"/>
      <color rgb="000066CC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6" fillId="2" borderId="0" pivotButton="0" quotePrefix="0" xfId="0"/>
    <xf numFmtId="165" fontId="0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7" fillId="0" borderId="1" pivotButton="0" quotePrefix="0" xfId="0"/>
    <xf numFmtId="165" fontId="6" fillId="2" borderId="1" pivotButton="0" quotePrefix="0" xfId="0"/>
    <xf numFmtId="10" fontId="6" fillId="2" borderId="1" pivotButton="0" quotePrefix="0" xfId="0"/>
    <xf numFmtId="166" fontId="6" fillId="2" borderId="1" pivotButton="0" quotePrefix="0" xfId="0"/>
    <xf numFmtId="167" fontId="6" fillId="2" borderId="1" pivotButton="0" quotePrefix="0" xfId="0"/>
    <xf numFmtId="10" fontId="8" fillId="4" borderId="1" pivotButton="0" quotePrefix="0" xfId="0"/>
    <xf numFmtId="3" fontId="6" fillId="2" borderId="1" pivotButton="0" quotePrefix="0" xfId="0"/>
    <xf numFmtId="168" fontId="6" fillId="2" borderId="1" pivotButton="0" quotePrefix="0" xfId="0"/>
    <xf numFmtId="9" fontId="6" fillId="2" borderId="1" pivotButton="0" quotePrefix="0" xfId="0"/>
    <xf numFmtId="2" fontId="6" fillId="2" borderId="1" pivotButton="0" quotePrefix="0" xfId="0"/>
    <xf numFmtId="10" fontId="8" fillId="3" borderId="1" pivotButton="0" quotePrefix="0" xfId="0"/>
    <xf numFmtId="0" fontId="9" fillId="5" borderId="1" applyAlignment="1" pivotButton="0" quotePrefix="0" xfId="0">
      <alignment horizontal="center"/>
    </xf>
    <xf numFmtId="0" fontId="10" fillId="0" borderId="0" pivotButton="0" quotePrefix="0" xfId="0"/>
    <xf numFmtId="0" fontId="8" fillId="0" borderId="1" pivotButton="0" quotePrefix="0" xfId="0"/>
    <xf numFmtId="165" fontId="7" fillId="0" borderId="1" pivotButton="0" quotePrefix="0" xfId="0"/>
    <xf numFmtId="166" fontId="7" fillId="0" borderId="1" pivotButton="0" quotePrefix="0" xfId="0"/>
    <xf numFmtId="3" fontId="7" fillId="0" borderId="1" pivotButton="0" quotePrefix="0" xfId="0"/>
    <xf numFmtId="10" fontId="7" fillId="0" borderId="1" pivotButton="0" quotePrefix="0" xfId="0"/>
    <xf numFmtId="2" fontId="7" fillId="0" borderId="1" pivotButton="0" quotePrefix="0" xfId="0"/>
    <xf numFmtId="1" fontId="7" fillId="0" borderId="1" pivotButton="0" quotePrefix="0" xfId="0"/>
    <xf numFmtId="0" fontId="8" fillId="4" borderId="1" pivotButton="0" quotePrefix="0" xfId="0"/>
    <xf numFmtId="3" fontId="8" fillId="4" borderId="1" pivotButton="0" quotePrefix="0" xfId="0"/>
    <xf numFmtId="3" fontId="8" fillId="0" borderId="1" pivotButton="0" quotePrefix="0" xfId="0"/>
    <xf numFmtId="169" fontId="7" fillId="0" borderId="1" pivotButton="0" quotePrefix="0" xfId="0"/>
    <xf numFmtId="0" fontId="8" fillId="3" borderId="1" pivotButton="0" quotePrefix="0" xfId="0"/>
    <xf numFmtId="3" fontId="8" fillId="3" borderId="1" pivotButton="0" quotePrefix="0" xfId="0"/>
    <xf numFmtId="2" fontId="8" fillId="0" borderId="1" pivotButton="0" quotePrefix="0" xfId="0"/>
    <xf numFmtId="9" fontId="7" fillId="0" borderId="1" pivotButton="0" quotePrefix="0" xfId="0"/>
    <xf numFmtId="170" fontId="7" fillId="0" borderId="1" pivotButton="0" quotePrefix="0" xfId="0"/>
    <xf numFmtId="168" fontId="7" fillId="0" borderId="1" pivotButton="0" quotePrefix="0" xfId="0"/>
    <xf numFmtId="164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Westpac Banking Corporation (ASX:WBC)</t>
        </is>
      </c>
    </row>
    <row r="2">
      <c r="A2" s="2" t="inlineStr">
        <is>
          <t>Muddle Through valuation v4 — formula-based (Tara standing rule)</t>
        </is>
      </c>
    </row>
    <row r="3">
      <c r="A3" s="3" t="inlineStr">
        <is>
          <t>17 June 2026 | Reid Advisory</t>
        </is>
      </c>
    </row>
    <row r="5">
      <c r="A5" s="4" t="inlineStr">
        <is>
          <t>Headline result</t>
        </is>
      </c>
    </row>
    <row r="6">
      <c r="A6" t="inlineStr">
        <is>
          <t>Per share value (Muddle Through)</t>
        </is>
      </c>
      <c r="B6" s="5">
        <f>'Per-Share Value'!C40</f>
        <v/>
      </c>
    </row>
    <row r="7">
      <c r="A7" t="inlineStr">
        <is>
          <t>Market reference (15 June 2026)</t>
        </is>
      </c>
      <c r="B7" s="6" t="n">
        <v>35.32</v>
      </c>
    </row>
    <row r="8">
      <c r="A8" t="inlineStr">
        <is>
          <t>Discount / (premium) vs market</t>
        </is>
      </c>
      <c r="B8" s="7">
        <f>B6/B7-1</f>
        <v/>
      </c>
    </row>
    <row r="10">
      <c r="A10" s="4" t="inlineStr">
        <is>
          <t>Workbook conventions</t>
        </is>
      </c>
    </row>
    <row r="11">
      <c r="A11" s="8" t="inlineStr">
        <is>
          <t>• Yellow-shaded cells: input assumptions — change these to flex the model.</t>
        </is>
      </c>
    </row>
    <row r="12">
      <c r="A12" s="8" t="inlineStr">
        <is>
          <t>• Blue text cells: input cells (cross-cutting).</t>
        </is>
      </c>
    </row>
    <row r="13">
      <c r="A13" s="8" t="inlineStr">
        <is>
          <t>• All other cells: formulas linked to Assumptions sheet or other tabs.</t>
        </is>
      </c>
    </row>
    <row r="14">
      <c r="A14" s="8" t="inlineStr">
        <is>
          <t>• Trace any output back to inputs by clicking the cell and viewing the formula bar.</t>
        </is>
      </c>
    </row>
  </sheetData>
  <mergeCells count="4">
    <mergeCell ref="A12:H12"/>
    <mergeCell ref="A13:H13"/>
    <mergeCell ref="A11:H11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</cols>
  <sheetData>
    <row r="1">
      <c r="A1" s="9" t="inlineStr">
        <is>
          <t>Muddle Through assumptions — INPUT LAYER (yellow cells are inputs)</t>
        </is>
      </c>
    </row>
    <row r="3">
      <c r="A3" s="10" t="inlineStr">
        <is>
          <t>Industry-archetype anchors (per Section 3 of discussion document)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12" t="inlineStr">
        <is>
          <t>Industry AIEA growth p.a. (Muddle Through)</t>
        </is>
      </c>
      <c r="B4" s="13" t="n">
        <v>0.045</v>
      </c>
      <c r="C4" s="12" t="inlineStr">
        <is>
          <t>Big Four system credit growth</t>
        </is>
      </c>
    </row>
    <row r="5">
      <c r="A5" s="12" t="inlineStr">
        <is>
          <t>Industry NIM anchor</t>
        </is>
      </c>
      <c r="B5" s="14" t="n">
        <v>0.0186</v>
      </c>
      <c r="C5" s="12" t="inlineStr">
        <is>
          <t>Big Four through-cycle average</t>
        </is>
      </c>
    </row>
    <row r="7">
      <c r="A7" s="10" t="inlineStr">
        <is>
          <t>WBC company-position offsets (Five Forces)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>
      <c r="A8" s="12" t="inlineStr">
        <is>
          <t>WBC AIEA growth offset (Five Forces drag)</t>
        </is>
      </c>
      <c r="B8" s="15" t="n">
        <v>-0.0015</v>
      </c>
      <c r="C8" s="12" t="inlineStr">
        <is>
          <t>Rivalry -10bps + biz banking rebuild -5bps</t>
        </is>
      </c>
    </row>
    <row r="9">
      <c r="A9" s="12" t="inlineStr">
        <is>
          <t>WBC NIM offset (supplier power: deposit franchise)</t>
        </is>
      </c>
      <c r="B9" s="16" t="n">
        <v>0.0008</v>
      </c>
      <c r="C9" s="12" t="inlineStr">
        <is>
          <t>+8bps from non-interest-bearing transaction balances</t>
        </is>
      </c>
    </row>
    <row r="10">
      <c r="A10" s="12" t="inlineStr">
        <is>
          <t>equals  WBC AIEA growth (derived)</t>
        </is>
      </c>
      <c r="B10" s="17">
        <f>Assumptions!$B$4+Assumptions!$B$8</f>
        <v/>
      </c>
    </row>
    <row r="11">
      <c r="A11" s="12" t="inlineStr">
        <is>
          <t>equals  WBC NIM anchor (derived)</t>
        </is>
      </c>
      <c r="B11" s="17">
        <f>Assumptions!$B$5+Assumptions!$B$9</f>
        <v/>
      </c>
    </row>
    <row r="13">
      <c r="A13" s="10" t="inlineStr">
        <is>
          <t>1H26 actuals (income anchors, AUD m)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Net interest income 1H26 ex Notable</t>
        </is>
      </c>
      <c r="B14" s="18" t="n">
        <v>9763</v>
      </c>
    </row>
    <row r="15">
      <c r="A15" s="12" t="inlineStr">
        <is>
          <t>Non-interest income 1H26 ex Notable</t>
        </is>
      </c>
      <c r="B15" s="18" t="n">
        <v>1521</v>
      </c>
    </row>
    <row r="16">
      <c r="A16" s="12" t="inlineStr">
        <is>
          <t>Operating expenses 1H26 ex Notable</t>
        </is>
      </c>
      <c r="B16" s="18" t="n">
        <v>5830</v>
      </c>
    </row>
    <row r="17">
      <c r="A17" s="12" t="inlineStr">
        <is>
          <t>Credit impairment charges 1H26</t>
        </is>
      </c>
      <c r="B17" s="18" t="n">
        <v>443</v>
      </c>
    </row>
    <row r="18">
      <c r="A18" s="12" t="inlineStr">
        <is>
          <t>Cash NPAT 1H26 ex Notable</t>
        </is>
      </c>
      <c r="B18" s="18" t="n">
        <v>3483</v>
      </c>
    </row>
    <row r="20">
      <c r="A20" s="10" t="inlineStr">
        <is>
          <t>Balance sheet anchors (31 March 2026, AUD m)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Average interest-earning assets (1H26 avg)</t>
        </is>
      </c>
      <c r="B21" s="18" t="n">
        <v>1035226</v>
      </c>
    </row>
    <row r="22">
      <c r="A22" s="12" t="inlineStr">
        <is>
          <t>Book equity total (1H26 close)</t>
        </is>
      </c>
      <c r="B22" s="18" t="n">
        <v>72825</v>
      </c>
    </row>
    <row r="23">
      <c r="A23" s="12" t="inlineStr">
        <is>
          <t>AT1 hybrid outstanding</t>
        </is>
      </c>
      <c r="B23" s="18" t="n">
        <v>8522</v>
      </c>
    </row>
    <row r="24">
      <c r="A24" s="12" t="inlineStr">
        <is>
          <t>Non-controlling interests (book)</t>
        </is>
      </c>
      <c r="B24" s="18" t="n">
        <v>350</v>
      </c>
    </row>
    <row r="25">
      <c r="A25" s="12" t="inlineStr">
        <is>
          <t>Treasury shares (book)</t>
        </is>
      </c>
      <c r="B25" s="18" t="n">
        <v>64</v>
      </c>
    </row>
    <row r="26">
      <c r="A26" s="12" t="inlineStr">
        <is>
          <t>Shares outstanding (m)</t>
        </is>
      </c>
      <c r="B26" s="19" t="n">
        <v>3414.9</v>
      </c>
    </row>
    <row r="28">
      <c r="A28" s="10" t="inlineStr">
        <is>
          <t>Forecast drivers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Non-NII growth p.a.</t>
        </is>
      </c>
      <c r="B29" s="13" t="n">
        <v>0.025</v>
      </c>
    </row>
    <row r="30">
      <c r="A30" s="12" t="inlineStr">
        <is>
          <t>Through-cycle credit loss rate (annual)</t>
        </is>
      </c>
      <c r="B30" s="14" t="n">
        <v>0.0018</v>
      </c>
    </row>
    <row r="31">
      <c r="A31" s="12" t="inlineStr">
        <is>
          <t>Effective tax rate</t>
        </is>
      </c>
      <c r="B31" s="20" t="n">
        <v>0.3</v>
      </c>
    </row>
    <row r="32">
      <c r="A32" s="12" t="inlineStr">
        <is>
          <t>Dividend payout ratio</t>
        </is>
      </c>
      <c r="B32" s="20" t="n">
        <v>0.75</v>
      </c>
    </row>
    <row r="33">
      <c r="A33" s="12" t="inlineStr">
        <is>
          <t>Avg loans as % of AIEA</t>
        </is>
      </c>
      <c r="B33" s="20" t="n">
        <v>0.77</v>
      </c>
    </row>
    <row r="35">
      <c r="A35" s="10" t="inlineStr">
        <is>
          <t>Cost of equity build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Risk-free rate</t>
        </is>
      </c>
      <c r="B36" s="14" t="n">
        <v>0.043</v>
      </c>
    </row>
    <row r="37">
      <c r="A37" s="12" t="inlineStr">
        <is>
          <t>Equity risk premium</t>
        </is>
      </c>
      <c r="B37" s="14" t="n">
        <v>0.05</v>
      </c>
    </row>
    <row r="38">
      <c r="A38" s="12" t="inlineStr">
        <is>
          <t>Beta selected (peer-triangulated)</t>
        </is>
      </c>
      <c r="B38" s="21" t="n">
        <v>0.75</v>
      </c>
    </row>
    <row r="39">
      <c r="A39" s="12" t="inlineStr">
        <is>
          <t>equals  Cost of equity Re (derived)</t>
        </is>
      </c>
      <c r="B39" s="22">
        <f>Assumptions!$B$36+Assumptions!$B$38*Assumptions!$B$37</f>
        <v/>
      </c>
    </row>
    <row r="41">
      <c r="A41" s="10" t="inlineStr">
        <is>
          <t>Terminal value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Terminal ROE</t>
        </is>
      </c>
      <c r="B42" s="13" t="n">
        <v>0.105</v>
      </c>
    </row>
    <row r="43">
      <c r="A43" s="12" t="inlineStr">
        <is>
          <t>Terminal growth g</t>
        </is>
      </c>
      <c r="B43" s="13" t="n">
        <v>0.035</v>
      </c>
    </row>
    <row r="45">
      <c r="A45" s="10" t="inlineStr">
        <is>
          <t>Peer-gap closure cost-to-income trajectory (UNITE-informed)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23" t="inlineStr">
        <is>
          <t>Period</t>
        </is>
      </c>
      <c r="B46" s="23" t="inlineStr">
        <is>
          <t>Stub</t>
        </is>
      </c>
      <c r="C46" s="23" t="inlineStr">
        <is>
          <t>Y1 FY27</t>
        </is>
      </c>
      <c r="D46" s="23" t="inlineStr">
        <is>
          <t>Y2 FY28</t>
        </is>
      </c>
      <c r="E46" s="23" t="inlineStr">
        <is>
          <t>Y3 FY29</t>
        </is>
      </c>
      <c r="F46" s="23" t="inlineStr">
        <is>
          <t>Y4 FY30</t>
        </is>
      </c>
      <c r="G46" s="23" t="inlineStr">
        <is>
          <t>Y5 FY31</t>
        </is>
      </c>
    </row>
    <row r="47">
      <c r="A47" s="12" t="inlineStr">
        <is>
          <t>Cost-to-income applied</t>
        </is>
      </c>
      <c r="B47" s="13" t="n">
        <v>0.516</v>
      </c>
      <c r="C47" s="13" t="n">
        <v>0.515</v>
      </c>
      <c r="D47" s="13" t="n">
        <v>0.51</v>
      </c>
      <c r="E47" s="13" t="n">
        <v>0.495</v>
      </c>
      <c r="F47" s="13" t="n">
        <v>0.485</v>
      </c>
      <c r="G47" s="13" t="n">
        <v>0.48</v>
      </c>
    </row>
    <row r="49">
      <c r="A49" s="23" t="inlineStr">
        <is>
          <t>Period</t>
        </is>
      </c>
      <c r="B49" s="23" t="inlineStr">
        <is>
          <t>Stub</t>
        </is>
      </c>
      <c r="C49" s="23" t="inlineStr">
        <is>
          <t>Y1 FY27</t>
        </is>
      </c>
      <c r="D49" s="23" t="inlineStr">
        <is>
          <t>Y2 FY28</t>
        </is>
      </c>
      <c r="E49" s="23" t="inlineStr">
        <is>
          <t>Y3 FY29</t>
        </is>
      </c>
      <c r="F49" s="23" t="inlineStr">
        <is>
          <t>Y4 FY30</t>
        </is>
      </c>
      <c r="G49" s="23" t="inlineStr">
        <is>
          <t>Y5 FY31</t>
        </is>
      </c>
    </row>
    <row r="50">
      <c r="A50" s="12" t="inlineStr">
        <is>
          <t>Credit loss rate (annual)</t>
        </is>
      </c>
      <c r="B50" s="14" t="n">
        <v>0.0011</v>
      </c>
      <c r="C50" s="14" t="n">
        <v>0.0013</v>
      </c>
      <c r="D50" s="14" t="n">
        <v>0.0016</v>
      </c>
      <c r="E50" s="14" t="n">
        <v>0.0018</v>
      </c>
      <c r="F50" s="14" t="n">
        <v>0.0018</v>
      </c>
      <c r="G50" s="14" t="n">
        <v>0.0018</v>
      </c>
    </row>
    <row r="52">
      <c r="A52" s="23" t="inlineStr">
        <is>
          <t>Period</t>
        </is>
      </c>
      <c r="B52" s="23" t="inlineStr">
        <is>
          <t>Stub</t>
        </is>
      </c>
      <c r="C52" s="23" t="inlineStr">
        <is>
          <t>Y1 FY27</t>
        </is>
      </c>
      <c r="D52" s="23" t="inlineStr">
        <is>
          <t>Y2 FY28</t>
        </is>
      </c>
      <c r="E52" s="23" t="inlineStr">
        <is>
          <t>Y3 FY29</t>
        </is>
      </c>
      <c r="F52" s="23" t="inlineStr">
        <is>
          <t>Y4 FY30</t>
        </is>
      </c>
      <c r="G52" s="23" t="inlineStr">
        <is>
          <t>Y5 FY31</t>
        </is>
      </c>
    </row>
    <row r="53">
      <c r="A53" s="12" t="inlineStr">
        <is>
          <t>NIM applied</t>
        </is>
      </c>
      <c r="B53" s="14" t="n">
        <v>0.019</v>
      </c>
      <c r="C53" s="14" t="n">
        <v>0.0192</v>
      </c>
      <c r="D53" s="14" t="n">
        <v>0.0193</v>
      </c>
      <c r="E53" s="14" t="n">
        <v>0.0194</v>
      </c>
      <c r="F53" s="14" t="n">
        <v>0.0194</v>
      </c>
      <c r="G53" s="14" t="n">
        <v>0.0194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9" t="inlineStr">
        <is>
          <t>Muddle Through 5-year P&amp;L — FORMULAS (Step 2 → Step 3 traceable per §11)</t>
        </is>
      </c>
    </row>
    <row r="2">
      <c r="A2" s="24" t="inlineStr">
        <is>
          <t>All values are formulas. To flex the model: change inputs on the Assumptions sheet (yellow cells).</t>
        </is>
      </c>
    </row>
    <row r="4">
      <c r="A4" s="23" t="inlineStr">
        <is>
          <t>Line</t>
        </is>
      </c>
      <c r="B4" s="23" t="inlineStr">
        <is>
          <t>Stub</t>
        </is>
      </c>
      <c r="C4" s="23" t="inlineStr">
        <is>
          <t>Y1 FY27</t>
        </is>
      </c>
      <c r="D4" s="23" t="inlineStr">
        <is>
          <t>Y2 FY28</t>
        </is>
      </c>
      <c r="E4" s="23" t="inlineStr">
        <is>
          <t>Y3 FY29</t>
        </is>
      </c>
      <c r="F4" s="23" t="inlineStr">
        <is>
          <t>Y4 FY30</t>
        </is>
      </c>
      <c r="G4" s="23" t="inlineStr">
        <is>
          <t>Y5 FY31</t>
        </is>
      </c>
    </row>
    <row r="5">
      <c r="A5" s="25" t="inlineStr">
        <is>
          <t>Industry AIEA growth p.a. (from §3)</t>
        </is>
      </c>
      <c r="B5" s="26">
        <f>Assumptions!$B$4</f>
        <v/>
      </c>
      <c r="C5" s="26">
        <f>Assumptions!$B$4</f>
        <v/>
      </c>
      <c r="D5" s="26">
        <f>Assumptions!$B$4</f>
        <v/>
      </c>
      <c r="E5" s="26">
        <f>Assumptions!$B$4</f>
        <v/>
      </c>
      <c r="F5" s="26">
        <f>Assumptions!$B$4</f>
        <v/>
      </c>
      <c r="G5" s="26">
        <f>Assumptions!$B$4</f>
        <v/>
      </c>
    </row>
    <row r="6">
      <c r="A6" s="12" t="inlineStr">
        <is>
          <t>Less: WBC company offset (5 Forces)</t>
        </is>
      </c>
      <c r="B6" s="27">
        <f>Assumptions!$B$8</f>
        <v/>
      </c>
      <c r="C6" s="27">
        <f>Assumptions!$B$8</f>
        <v/>
      </c>
      <c r="D6" s="27">
        <f>Assumptions!$B$8</f>
        <v/>
      </c>
      <c r="E6" s="27">
        <f>Assumptions!$B$8</f>
        <v/>
      </c>
      <c r="F6" s="27">
        <f>Assumptions!$B$8</f>
        <v/>
      </c>
      <c r="G6" s="27">
        <f>Assumptions!$B$8</f>
        <v/>
      </c>
    </row>
    <row r="7">
      <c r="A7" s="25" t="inlineStr">
        <is>
          <t>equals  WBC AIEA growth (derived)</t>
        </is>
      </c>
      <c r="B7" s="17">
        <f>Assumptions!$B$10</f>
        <v/>
      </c>
      <c r="C7" s="17">
        <f>Assumptions!$B$10</f>
        <v/>
      </c>
      <c r="D7" s="17">
        <f>Assumptions!$B$10</f>
        <v/>
      </c>
      <c r="E7" s="17">
        <f>Assumptions!$B$10</f>
        <v/>
      </c>
      <c r="F7" s="17">
        <f>Assumptions!$B$10</f>
        <v/>
      </c>
      <c r="G7" s="17">
        <f>Assumptions!$B$10</f>
        <v/>
      </c>
    </row>
    <row r="9">
      <c r="A9" s="25" t="inlineStr">
        <is>
          <t>Average interest-earning assets (AUDm)</t>
        </is>
      </c>
      <c r="B9" s="28">
        <f>Assumptions!$B$21*(1+Assumptions!$B$10*0.175)</f>
        <v/>
      </c>
      <c r="C9" s="28">
        <f>Assumptions!$B$21*(1+Assumptions!$B$10*1.18)</f>
        <v/>
      </c>
      <c r="D9" s="28">
        <f>C9*(1+Assumptions!$B$10)</f>
        <v/>
      </c>
      <c r="E9" s="28">
        <f>D9*(1+Assumptions!$B$10)</f>
        <v/>
      </c>
      <c r="F9" s="28">
        <f>E9*(1+Assumptions!$B$10)</f>
        <v/>
      </c>
      <c r="G9" s="28">
        <f>F9*(1+Assumptions!$B$10)</f>
        <v/>
      </c>
    </row>
    <row r="10">
      <c r="A10" s="12" t="inlineStr">
        <is>
          <t>NIM applied (per Assumptions trajectory)</t>
        </is>
      </c>
      <c r="B10" s="29">
        <f>Assumptions!$B$53</f>
        <v/>
      </c>
      <c r="C10" s="29">
        <f>Assumptions!$C$53</f>
        <v/>
      </c>
      <c r="D10" s="29">
        <f>Assumptions!$D$53</f>
        <v/>
      </c>
      <c r="E10" s="29">
        <f>Assumptions!$E$53</f>
        <v/>
      </c>
      <c r="F10" s="29">
        <f>Assumptions!$F$53</f>
        <v/>
      </c>
      <c r="G10" s="29">
        <f>Assumptions!$G$53</f>
        <v/>
      </c>
    </row>
    <row r="11">
      <c r="A11" s="12" t="inlineStr">
        <is>
          <t>Period length (years)</t>
        </is>
      </c>
      <c r="B11" s="30" t="n">
        <v>0.35</v>
      </c>
      <c r="C11" s="31" t="n">
        <v>1</v>
      </c>
      <c r="D11" s="31" t="n">
        <v>1</v>
      </c>
      <c r="E11" s="31" t="n">
        <v>1</v>
      </c>
      <c r="F11" s="31" t="n">
        <v>1</v>
      </c>
      <c r="G11" s="31" t="n">
        <v>1</v>
      </c>
    </row>
    <row r="12">
      <c r="A12" s="32" t="inlineStr">
        <is>
          <t>Net interest income</t>
        </is>
      </c>
      <c r="B12" s="33">
        <f>B9*B10*B11</f>
        <v/>
      </c>
      <c r="C12" s="33">
        <f>C9*C10*C11</f>
        <v/>
      </c>
      <c r="D12" s="33">
        <f>D9*D10*D11</f>
        <v/>
      </c>
      <c r="E12" s="33">
        <f>E9*E10*E11</f>
        <v/>
      </c>
      <c r="F12" s="33">
        <f>F9*F10*F11</f>
        <v/>
      </c>
      <c r="G12" s="33">
        <f>G9*G10*G11</f>
        <v/>
      </c>
    </row>
    <row r="13">
      <c r="A13" s="12" t="inlineStr">
        <is>
          <t>Non-interest income</t>
        </is>
      </c>
      <c r="B13" s="28">
        <f>Assumptions!$B$15*(0.35/0.5)</f>
        <v/>
      </c>
      <c r="C13" s="28">
        <f>2*Assumptions!$B$15*(1+Assumptions!$B$29)</f>
        <v/>
      </c>
      <c r="D13" s="28">
        <f>C13*(1+Assumptions!$B$29)</f>
        <v/>
      </c>
      <c r="E13" s="28">
        <f>D13*(1+Assumptions!$B$29)</f>
        <v/>
      </c>
      <c r="F13" s="28">
        <f>E13*(1+Assumptions!$B$29)</f>
        <v/>
      </c>
      <c r="G13" s="28">
        <f>F13*(1+Assumptions!$B$29)</f>
        <v/>
      </c>
    </row>
    <row r="14">
      <c r="A14" s="25" t="inlineStr">
        <is>
          <t>Total operating income</t>
        </is>
      </c>
      <c r="B14" s="34">
        <f>B12+B13</f>
        <v/>
      </c>
      <c r="C14" s="34">
        <f>C12+C13</f>
        <v/>
      </c>
      <c r="D14" s="34">
        <f>D12+D13</f>
        <v/>
      </c>
      <c r="E14" s="34">
        <f>E12+E13</f>
        <v/>
      </c>
      <c r="F14" s="34">
        <f>F12+F13</f>
        <v/>
      </c>
      <c r="G14" s="34">
        <f>G12+G13</f>
        <v/>
      </c>
    </row>
    <row r="16">
      <c r="A16" s="12" t="inlineStr">
        <is>
          <t>Cost-to-income applied (from Assumptions)</t>
        </is>
      </c>
      <c r="B16" s="26">
        <f>Assumptions!$B$47</f>
        <v/>
      </c>
      <c r="C16" s="26">
        <f>Assumptions!$C$47</f>
        <v/>
      </c>
      <c r="D16" s="26">
        <f>Assumptions!$D$47</f>
        <v/>
      </c>
      <c r="E16" s="26">
        <f>Assumptions!$E$47</f>
        <v/>
      </c>
      <c r="F16" s="26">
        <f>Assumptions!$F$47</f>
        <v/>
      </c>
      <c r="G16" s="26">
        <f>Assumptions!$G$47</f>
        <v/>
      </c>
    </row>
    <row r="17">
      <c r="A17" s="12" t="inlineStr">
        <is>
          <t>Less: operating expenses</t>
        </is>
      </c>
      <c r="B17" s="35">
        <f>-B14*B16</f>
        <v/>
      </c>
      <c r="C17" s="35">
        <f>-C14*C16</f>
        <v/>
      </c>
      <c r="D17" s="35">
        <f>-D14*D16</f>
        <v/>
      </c>
      <c r="E17" s="35">
        <f>-E14*E16</f>
        <v/>
      </c>
      <c r="F17" s="35">
        <f>-F14*F16</f>
        <v/>
      </c>
      <c r="G17" s="35">
        <f>-G14*G16</f>
        <v/>
      </c>
    </row>
    <row r="18">
      <c r="A18" s="32" t="inlineStr">
        <is>
          <t>Pre-provision profit</t>
        </is>
      </c>
      <c r="B18" s="33">
        <f>B14+B17</f>
        <v/>
      </c>
      <c r="C18" s="33">
        <f>C14+C17</f>
        <v/>
      </c>
      <c r="D18" s="33">
        <f>D14+D17</f>
        <v/>
      </c>
      <c r="E18" s="33">
        <f>E14+E17</f>
        <v/>
      </c>
      <c r="F18" s="33">
        <f>F14+F17</f>
        <v/>
      </c>
      <c r="G18" s="33">
        <f>G14+G17</f>
        <v/>
      </c>
    </row>
    <row r="20">
      <c r="A20" s="12" t="inlineStr">
        <is>
          <t>Memo: average loans (AIEA × loan %)</t>
        </is>
      </c>
      <c r="B20" s="28">
        <f>B9*Assumptions!$B$33</f>
        <v/>
      </c>
      <c r="C20" s="28">
        <f>C9*Assumptions!$B$33</f>
        <v/>
      </c>
      <c r="D20" s="28">
        <f>D9*Assumptions!$B$33</f>
        <v/>
      </c>
      <c r="E20" s="28">
        <f>E9*Assumptions!$B$33</f>
        <v/>
      </c>
      <c r="F20" s="28">
        <f>F9*Assumptions!$B$33</f>
        <v/>
      </c>
      <c r="G20" s="28">
        <f>G9*Assumptions!$B$33</f>
        <v/>
      </c>
    </row>
    <row r="21">
      <c r="A21" s="12" t="inlineStr">
        <is>
          <t>Credit loss rate applied (from Assumptions)</t>
        </is>
      </c>
      <c r="B21" s="29">
        <f>Assumptions!$B$50</f>
        <v/>
      </c>
      <c r="C21" s="29">
        <f>Assumptions!$C$50</f>
        <v/>
      </c>
      <c r="D21" s="29">
        <f>Assumptions!$D$50</f>
        <v/>
      </c>
      <c r="E21" s="29">
        <f>Assumptions!$E$50</f>
        <v/>
      </c>
      <c r="F21" s="29">
        <f>Assumptions!$F$50</f>
        <v/>
      </c>
      <c r="G21" s="29">
        <f>Assumptions!$G$50</f>
        <v/>
      </c>
    </row>
    <row r="22">
      <c r="A22" s="12" t="inlineStr">
        <is>
          <t>Less: credit impairment charges</t>
        </is>
      </c>
      <c r="B22" s="35">
        <f>-B20*B21*B11</f>
        <v/>
      </c>
      <c r="C22" s="35">
        <f>-C20*C21*C11</f>
        <v/>
      </c>
      <c r="D22" s="35">
        <f>-D20*D21*D11</f>
        <v/>
      </c>
      <c r="E22" s="35">
        <f>-E20*E21*E11</f>
        <v/>
      </c>
      <c r="F22" s="35">
        <f>-F20*F21*F11</f>
        <v/>
      </c>
      <c r="G22" s="35">
        <f>-G20*G21*G11</f>
        <v/>
      </c>
    </row>
    <row r="23">
      <c r="A23" s="12" t="inlineStr">
        <is>
          <t>Cash earnings before tax</t>
        </is>
      </c>
      <c r="B23" s="28">
        <f>B18+B22</f>
        <v/>
      </c>
      <c r="C23" s="28">
        <f>C18+C22</f>
        <v/>
      </c>
      <c r="D23" s="28">
        <f>D18+D22</f>
        <v/>
      </c>
      <c r="E23" s="28">
        <f>E18+E22</f>
        <v/>
      </c>
      <c r="F23" s="28">
        <f>F18+F22</f>
        <v/>
      </c>
      <c r="G23" s="28">
        <f>G18+G22</f>
        <v/>
      </c>
    </row>
    <row r="24">
      <c r="A24" s="12" t="inlineStr">
        <is>
          <t>Income tax expense</t>
        </is>
      </c>
      <c r="B24" s="35">
        <f>-B23*Assumptions!$B$31</f>
        <v/>
      </c>
      <c r="C24" s="35">
        <f>-C23*Assumptions!$B$31</f>
        <v/>
      </c>
      <c r="D24" s="35">
        <f>-D23*Assumptions!$B$31</f>
        <v/>
      </c>
      <c r="E24" s="35">
        <f>-E23*Assumptions!$B$31</f>
        <v/>
      </c>
      <c r="F24" s="35">
        <f>-F23*Assumptions!$B$31</f>
        <v/>
      </c>
      <c r="G24" s="35">
        <f>-G23*Assumptions!$B$31</f>
        <v/>
      </c>
    </row>
    <row r="25">
      <c r="A25" s="36" t="inlineStr">
        <is>
          <t>Cash NPAT</t>
        </is>
      </c>
      <c r="B25" s="37">
        <f>B23+B24</f>
        <v/>
      </c>
      <c r="C25" s="37">
        <f>C23+C24</f>
        <v/>
      </c>
      <c r="D25" s="37">
        <f>D23+D24</f>
        <v/>
      </c>
      <c r="E25" s="37">
        <f>E23+E24</f>
        <v/>
      </c>
      <c r="F25" s="37">
        <f>F23+F24</f>
        <v/>
      </c>
      <c r="G25" s="37">
        <f>G23+G24</f>
        <v/>
      </c>
    </row>
    <row r="27">
      <c r="A27" s="25" t="inlineStr">
        <is>
          <t>Cash EPS (AUD)</t>
        </is>
      </c>
      <c r="B27" s="38">
        <f>B25/Assumptions!$B$26</f>
        <v/>
      </c>
      <c r="C27" s="38">
        <f>C25/Assumptions!$B$26</f>
        <v/>
      </c>
      <c r="D27" s="38">
        <f>D25/Assumptions!$B$26</f>
        <v/>
      </c>
      <c r="E27" s="38">
        <f>E25/Assumptions!$B$26</f>
        <v/>
      </c>
      <c r="F27" s="38">
        <f>F25/Assumptions!$B$26</f>
        <v/>
      </c>
      <c r="G27" s="38">
        <f>G25/Assumptions!$B$26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9" t="inlineStr">
        <is>
          <t>Per-share value — formulas (DDM + Gordon-growth terminal per §15.8)</t>
        </is>
      </c>
    </row>
    <row r="2">
      <c r="A2" s="24" t="inlineStr">
        <is>
          <t>Discount rate Re flows from Assumptions sheet. Mid-period discounting.</t>
        </is>
      </c>
    </row>
    <row r="4">
      <c r="A4" s="23" t="inlineStr">
        <is>
          <t>Line</t>
        </is>
      </c>
      <c r="B4" s="23" t="inlineStr">
        <is>
          <t>Stub</t>
        </is>
      </c>
      <c r="C4" s="23" t="inlineStr">
        <is>
          <t>Y1 FY27</t>
        </is>
      </c>
      <c r="D4" s="23" t="inlineStr">
        <is>
          <t>Y2 FY28</t>
        </is>
      </c>
      <c r="E4" s="23" t="inlineStr">
        <is>
          <t>Y3 FY29</t>
        </is>
      </c>
      <c r="F4" s="23" t="inlineStr">
        <is>
          <t>Y4 FY30</t>
        </is>
      </c>
      <c r="G4" s="23" t="inlineStr">
        <is>
          <t>Y5 FY31</t>
        </is>
      </c>
    </row>
    <row r="5">
      <c r="A5" s="12" t="inlineStr">
        <is>
          <t>Cash NPAT (from P&amp;L Forecast)</t>
        </is>
      </c>
      <c r="B5" s="28">
        <f>'P&amp;L Forecast'!B25</f>
        <v/>
      </c>
      <c r="C5" s="28">
        <f>'P&amp;L Forecast'!C25</f>
        <v/>
      </c>
      <c r="D5" s="28">
        <f>'P&amp;L Forecast'!D25</f>
        <v/>
      </c>
      <c r="E5" s="28">
        <f>'P&amp;L Forecast'!E25</f>
        <v/>
      </c>
      <c r="F5" s="28">
        <f>'P&amp;L Forecast'!F25</f>
        <v/>
      </c>
      <c r="G5" s="28">
        <f>'P&amp;L Forecast'!G25</f>
        <v/>
      </c>
    </row>
    <row r="6">
      <c r="A6" s="12" t="inlineStr">
        <is>
          <t>× Payout ratio</t>
        </is>
      </c>
      <c r="B6" s="39">
        <f>Assumptions!$B$32</f>
        <v/>
      </c>
      <c r="C6" s="39">
        <f>Assumptions!$B$32</f>
        <v/>
      </c>
      <c r="D6" s="39">
        <f>Assumptions!$B$32</f>
        <v/>
      </c>
      <c r="E6" s="39">
        <f>Assumptions!$B$32</f>
        <v/>
      </c>
      <c r="F6" s="39">
        <f>Assumptions!$B$32</f>
        <v/>
      </c>
      <c r="G6" s="39">
        <f>Assumptions!$B$32</f>
        <v/>
      </c>
    </row>
    <row r="7">
      <c r="A7" s="32" t="inlineStr">
        <is>
          <t>equals  Dividends</t>
        </is>
      </c>
      <c r="B7" s="33">
        <f>B5*B6</f>
        <v/>
      </c>
      <c r="C7" s="33">
        <f>C5*C6</f>
        <v/>
      </c>
      <c r="D7" s="33">
        <f>D5*D6</f>
        <v/>
      </c>
      <c r="E7" s="33">
        <f>E5*E6</f>
        <v/>
      </c>
      <c r="F7" s="33">
        <f>F5*F6</f>
        <v/>
      </c>
      <c r="G7" s="33">
        <f>G5*G6</f>
        <v/>
      </c>
    </row>
    <row r="8">
      <c r="A8" s="12" t="inlineStr">
        <is>
          <t>Mid-period time (years from valuation date)</t>
        </is>
      </c>
      <c r="B8" s="30" t="n">
        <v>0.175</v>
      </c>
      <c r="C8" s="30" t="n">
        <v>0.85</v>
      </c>
      <c r="D8" s="30" t="n">
        <v>1.85</v>
      </c>
      <c r="E8" s="30" t="n">
        <v>2.85</v>
      </c>
      <c r="F8" s="30" t="n">
        <v>3.85</v>
      </c>
      <c r="G8" s="30" t="n">
        <v>4.85</v>
      </c>
    </row>
    <row r="9">
      <c r="A9" s="12" t="inlineStr">
        <is>
          <t>Discount factor</t>
        </is>
      </c>
      <c r="B9" s="40">
        <f>1/(1+Assumptions!$B$39)^B8</f>
        <v/>
      </c>
      <c r="C9" s="40">
        <f>1/(1+Assumptions!$B$39)^C8</f>
        <v/>
      </c>
      <c r="D9" s="40">
        <f>1/(1+Assumptions!$B$39)^D8</f>
        <v/>
      </c>
      <c r="E9" s="40">
        <f>1/(1+Assumptions!$B$39)^E8</f>
        <v/>
      </c>
      <c r="F9" s="40">
        <f>1/(1+Assumptions!$B$39)^F8</f>
        <v/>
      </c>
      <c r="G9" s="40">
        <f>1/(1+Assumptions!$B$39)^G8</f>
        <v/>
      </c>
    </row>
    <row r="10">
      <c r="A10" s="25" t="inlineStr">
        <is>
          <t>PV of dividends</t>
        </is>
      </c>
      <c r="B10" s="34">
        <f>B7*B9</f>
        <v/>
      </c>
      <c r="C10" s="34">
        <f>C7*C9</f>
        <v/>
      </c>
      <c r="D10" s="34">
        <f>D7*D9</f>
        <v/>
      </c>
      <c r="E10" s="34">
        <f>E7*E9</f>
        <v/>
      </c>
      <c r="F10" s="34">
        <f>F7*F9</f>
        <v/>
      </c>
      <c r="G10" s="34">
        <f>G7*G9</f>
        <v/>
      </c>
    </row>
    <row r="12">
      <c r="A12" s="12" t="inlineStr">
        <is>
          <t>Sum of PV explicit dividends</t>
        </is>
      </c>
      <c r="C12" s="33">
        <f>SUM(B10:G10)</f>
        <v/>
      </c>
    </row>
    <row r="14">
      <c r="A14" s="10" t="inlineStr">
        <is>
          <t>Terminal value (per §15.8)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s="12" t="inlineStr">
        <is>
          <t>Opening book equity (1H26 close)</t>
        </is>
      </c>
      <c r="C15" s="28">
        <f>Assumptions!$B$22</f>
        <v/>
      </c>
    </row>
    <row r="16">
      <c r="A16" s="12" t="inlineStr">
        <is>
          <t>Plus: total retained earnings (stub + Y1-Y5)</t>
        </is>
      </c>
      <c r="C16" s="28">
        <f>SUM(B5:G5)-SUM(B7:G7)</f>
        <v/>
      </c>
    </row>
    <row r="17">
      <c r="A17" s="12" t="inlineStr">
        <is>
          <t>equals  Closing book equity at end Y5</t>
        </is>
      </c>
      <c r="C17" s="33">
        <f>C15+C16</f>
        <v/>
      </c>
    </row>
    <row r="18">
      <c r="A18" s="12" t="inlineStr">
        <is>
          <t>Terminal ROE</t>
        </is>
      </c>
      <c r="C18" s="26">
        <f>Assumptions!$B$42</f>
        <v/>
      </c>
    </row>
    <row r="19">
      <c r="A19" s="12" t="inlineStr">
        <is>
          <t>Terminal growth g</t>
        </is>
      </c>
      <c r="C19" s="26">
        <f>Assumptions!$B$43</f>
        <v/>
      </c>
    </row>
    <row r="20">
      <c r="A20" s="12" t="inlineStr">
        <is>
          <t>Cost of equity Ke</t>
        </is>
      </c>
      <c r="C20" s="29">
        <f>Assumptions!$B$39</f>
        <v/>
      </c>
    </row>
    <row r="21">
      <c r="A21" s="25" t="inlineStr">
        <is>
          <t>Terminal value (Equity × (ROE-g)/(Ke-g))</t>
        </is>
      </c>
      <c r="C21" s="33">
        <f>$C$17*($C$18-$C$19)/($C$20-$C$19)</f>
        <v/>
      </c>
    </row>
    <row r="22">
      <c r="A22" s="12" t="inlineStr">
        <is>
          <t>Discount factor at end Y5 (t=5.35)</t>
        </is>
      </c>
      <c r="C22" s="40">
        <f>1/(1+Assumptions!$B$39)^5.35</f>
        <v/>
      </c>
    </row>
    <row r="23">
      <c r="A23" s="36" t="inlineStr">
        <is>
          <t>PV of terminal value</t>
        </is>
      </c>
      <c r="C23" s="37">
        <f>$C$21*$C$22</f>
        <v/>
      </c>
    </row>
    <row r="25">
      <c r="A25" s="10" t="inlineStr">
        <is>
          <t>Equity bridge per §15.7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Sum of PV of explicit dividends</t>
        </is>
      </c>
      <c r="C26" s="28">
        <f>$C$12</f>
        <v/>
      </c>
    </row>
    <row r="27">
      <c r="A27" s="12" t="inlineStr">
        <is>
          <t>Plus: PV of terminal value</t>
        </is>
      </c>
      <c r="C27" s="28">
        <f>$C$23</f>
        <v/>
      </c>
    </row>
    <row r="28">
      <c r="A28" s="32" t="inlineStr">
        <is>
          <t>Total value of equity claim</t>
        </is>
      </c>
      <c r="C28" s="33">
        <f>$C$26+$C$27</f>
        <v/>
      </c>
    </row>
    <row r="29">
      <c r="A29" s="12" t="inlineStr">
        <is>
          <t>Less: AT1 hybrid (§15.7(a))</t>
        </is>
      </c>
      <c r="C29" s="35">
        <f>-Assumptions!$B$23</f>
        <v/>
      </c>
    </row>
    <row r="30">
      <c r="A30" s="12" t="inlineStr">
        <is>
          <t>Less: NCI (§15.7(b))</t>
        </is>
      </c>
      <c r="C30" s="35">
        <f>-Assumptions!$B$24</f>
        <v/>
      </c>
    </row>
    <row r="31">
      <c r="A31" s="12" t="inlineStr">
        <is>
          <t>Less: treasury shares (§15.7(g))</t>
        </is>
      </c>
      <c r="C31" s="35">
        <f>-Assumptions!$B$25</f>
        <v/>
      </c>
    </row>
    <row r="32">
      <c r="A32" s="32" t="inlineStr">
        <is>
          <t>Ordinary equity value</t>
        </is>
      </c>
      <c r="C32" s="33">
        <f>$C$28-Assumptions!$B$23-Assumptions!$B$24-Assumptions!$B$25</f>
        <v/>
      </c>
    </row>
    <row r="33">
      <c r="A33" s="12" t="inlineStr">
        <is>
          <t>÷ Shares outstanding (m)</t>
        </is>
      </c>
      <c r="C33" s="41">
        <f>Assumptions!$B$26</f>
        <v/>
      </c>
    </row>
    <row r="34">
      <c r="A34" s="36" t="inlineStr">
        <is>
          <t>VALUE PER SHARE</t>
        </is>
      </c>
      <c r="C34" s="42">
        <f>$C$32/Assumptions!$B$26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2026-06-18T01:14:11Z</dcterms:created>
  <dcterms:modified xmlns:dcterms="http://purl.org/dc/terms/" xmlns:xsi="http://www.w3.org/2001/XMLSchema-instance" xsi:type="dcterms:W3CDTF">2026-06-18T01:14:11Z</dcterms:modified>
</cp:coreProperties>
</file>