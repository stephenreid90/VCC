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P&amp;L Summary" sheetId="3" state="visible" r:id="rId5"/>
    <sheet name="Balance Sheet" sheetId="4" state="visible" r:id="rId6"/>
    <sheet name="WACC Build" sheetId="5" state="visible" r:id="rId7"/>
    <sheet name="IMI Register" sheetId="6" state="visible" r:id="rId8"/>
    <sheet name="DCF Worksheet" sheetId="7" state="visible" r:id="rId9"/>
    <sheet name="Equity Bridge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<sst xmlns="http://schemas.openxmlformats.org/spreadsheetml/2006/main" count="476" uniqueCount="396">
  <si>
    <t xml:space="preserve">Dyno Nobel Limited (DNL.AU) — Muddle Through valuation (v2)</t>
  </si>
  <si>
    <t xml:space="preserve">Scenario:</t>
  </si>
  <si>
    <t xml:space="preserve">Muddle Through (interior, most-likely)</t>
  </si>
  <si>
    <t xml:space="preserve">Valuation date:</t>
  </si>
  <si>
    <t xml:space="preserve">25 May 2026</t>
  </si>
  <si>
    <t xml:space="preserve">Anchor date (financials):</t>
  </si>
  <si>
    <t xml:space="preserve">31 March 2026 (H1 FY26)</t>
  </si>
  <si>
    <t xml:space="preserve">Reporting currency:</t>
  </si>
  <si>
    <t xml:space="preserve">AUD millions unless noted</t>
  </si>
  <si>
    <t xml:space="preserve">Fiscal year-end:</t>
  </si>
  <si>
    <t xml:space="preserve">30 September</t>
  </si>
  <si>
    <t xml:space="preserve">Workbook version:</t>
  </si>
  <si>
    <t xml:space="preserve">v2 (applies full methodology per design/methodology/equity_bridge_and_valuation_mechanics.md)</t>
  </si>
  <si>
    <t xml:space="preserve">What's new vs v1:</t>
  </si>
  <si>
    <t xml:space="preserve">  Base re-anchored</t>
  </si>
  <si>
    <t xml:space="preserve">FY26 continuing-ops only (not TTM Mar 2026 which included Phosphate Hill)</t>
  </si>
  <si>
    <t xml:space="preserve">  Revenue growth from chain</t>
  </si>
  <si>
    <t xml:space="preserve">Scenario macro -&gt; industry archetype -&gt; DNL geographic mix (~5.5% nominal vs prior 2.0%)</t>
  </si>
  <si>
    <t xml:space="preserve">  Margin glide path</t>
  </si>
  <si>
    <t xml:space="preserve">Base 12.9% glides to 14.9% by FY28 (transformation programme), 15.1% steady state</t>
  </si>
  <si>
    <t xml:space="preserve">  Period A walk</t>
  </si>
  <si>
    <t xml:space="preserve">Net debt walked from 31 Mar 2026 anchor to 25 May 2026 valuation date</t>
  </si>
  <si>
    <t xml:space="preserve">  Period B stub</t>
  </si>
  <si>
    <t xml:space="preserve">Stub period (May-Sep 2026) shown as own DCF line</t>
  </si>
  <si>
    <t xml:space="preserve">  Mid-period discounting</t>
  </si>
  <si>
    <t xml:space="preserve">Cash flows treated as mid-period; terminal at end of Year 5</t>
  </si>
  <si>
    <t xml:space="preserve">  Statutory + ex-IMI DCFs</t>
  </si>
  <si>
    <t xml:space="preserve">Both bases shown; user picks central case</t>
  </si>
  <si>
    <t xml:space="preserve">  IMI Register</t>
  </si>
  <si>
    <t xml:space="preserve">Each IMI with frequency context + default lean</t>
  </si>
  <si>
    <t xml:space="preserve">  Equity Bridge</t>
  </si>
  <si>
    <t xml:space="preserve">Structured walk: EV -&gt; reported net debt -&gt; period A walk -&gt; declared dividend -&gt; ARO gap -&gt; contingent receivable -&gt; equity -&gt; per share</t>
  </si>
  <si>
    <t xml:space="preserve">Tabs:</t>
  </si>
  <si>
    <t xml:space="preserve">  Assumptions</t>
  </si>
  <si>
    <t xml:space="preserve">Single source of truth; all inputs blue, formulas black</t>
  </si>
  <si>
    <t xml:space="preserve">  Macro &amp; Growth Build</t>
  </si>
  <si>
    <t xml:space="preserve">Scenario macro -&gt; industry archetype translation -&gt; DNL position -&gt; growth path</t>
  </si>
  <si>
    <t xml:space="preserve">  P&amp;L Summary</t>
  </si>
  <si>
    <t xml:space="preserve">Historicals + 5-year forecast (continuing operations)</t>
  </si>
  <si>
    <t xml:space="preserve">  Balance Sheet</t>
  </si>
  <si>
    <t xml:space="preserve">At 31 Mar 2026; reported + normalised steady-state anchors</t>
  </si>
  <si>
    <t xml:space="preserve">  WACC Build</t>
  </si>
  <si>
    <t xml:space="preserve">Component build pulling from Assumptions (unchanged from v1)</t>
  </si>
  <si>
    <t xml:space="preserve">Each IMI item with context + default lean; user override toggle</t>
  </si>
  <si>
    <t xml:space="preserve">  DCF Worksheet</t>
  </si>
  <si>
    <t xml:space="preserve">Stub + 5 explicit years + Gordon-growth terminal; statutory and ex-IMI bases</t>
  </si>
  <si>
    <t xml:space="preserve">Full structured walk from EV to per share</t>
  </si>
  <si>
    <t xml:space="preserve">Sources:</t>
  </si>
  <si>
    <t xml:space="preserve">  H1 FY26 announcement</t>
  </si>
  <si>
    <t xml:space="preserve">2026 Half Year Results Announcement (11 May 2026); ASX release</t>
  </si>
  <si>
    <t xml:space="preserve">  H1 FY26 investor pres</t>
  </si>
  <si>
    <t xml:space="preserve">2026 Half Year Results Investor Presentation</t>
  </si>
  <si>
    <t xml:space="preserve">  Reported financials</t>
  </si>
  <si>
    <t xml:space="preserve">data/financials/dnl.yaml (EODHD, 22 May 2026) + H1 H1 announcement updates</t>
  </si>
  <si>
    <t xml:space="preserve">  Methodology</t>
  </si>
  <si>
    <t xml:space="preserve">design/methodology/equity_bridge_and_valuation_mechanics.md (v0.1)</t>
  </si>
  <si>
    <t xml:space="preserve">  Architecture spec</t>
  </si>
  <si>
    <t xml:space="preserve">design/architecture.md v0.3</t>
  </si>
  <si>
    <t xml:space="preserve">Market reference:</t>
  </si>
  <si>
    <t xml:space="preserve">Share price AUD 3.61, consensus target AUD 3.61 (21 May 2026); EV AUD 7,682m</t>
  </si>
  <si>
    <t xml:space="preserve">Colour key:</t>
  </si>
  <si>
    <t xml:space="preserve">  Blue text</t>
  </si>
  <si>
    <t xml:space="preserve">Hardcoded input — override here to flow through the model</t>
  </si>
  <si>
    <t xml:space="preserve">  Black text</t>
  </si>
  <si>
    <t xml:space="preserve">Formula / calculation</t>
  </si>
  <si>
    <t xml:space="preserve">  Green text</t>
  </si>
  <si>
    <t xml:space="preserve">Cross-sheet link</t>
  </si>
  <si>
    <t xml:space="preserve">  Yellow background</t>
  </si>
  <si>
    <t xml:space="preserve">Key assumption — flagged for attention</t>
  </si>
  <si>
    <t xml:space="preserve">Parameter</t>
  </si>
  <si>
    <t xml:space="preserve">Value</t>
  </si>
  <si>
    <t xml:space="preserve">Units</t>
  </si>
  <si>
    <t xml:space="preserve">Source / rationale</t>
  </si>
  <si>
    <t xml:space="preserve">DATES (per methodology section 7)</t>
  </si>
  <si>
    <t xml:space="preserve">Valuation date</t>
  </si>
  <si>
    <t xml:space="preserve">25-May-2026</t>
  </si>
  <si>
    <t xml:space="preserve">Today; explicit per methodology section 7.</t>
  </si>
  <si>
    <t xml:space="preserve">Anchor date (financials)</t>
  </si>
  <si>
    <t xml:space="preserve">31-Mar-2026</t>
  </si>
  <si>
    <t xml:space="preserve">H1 FY26 reporting date. All net-debt + share-count figures pair to this date.</t>
  </si>
  <si>
    <t xml:space="preserve">Year 1 start (next FY)</t>
  </si>
  <si>
    <t xml:space="preserve">1-Oct-2026</t>
  </si>
  <si>
    <t xml:space="preserve">Start of FY27. Stub period runs valuation date to here.</t>
  </si>
  <si>
    <t xml:space="preserve">Stub period (years)</t>
  </si>
  <si>
    <t xml:space="preserve">yrs</t>
  </si>
  <si>
    <t xml:space="preserve">128 days / 365. Used for stub-period FCF and mid-period discount factors.</t>
  </si>
  <si>
    <t xml:space="preserve">BASE YEAR (FY26 continuing operations — estimate)</t>
  </si>
  <si>
    <t xml:space="preserve">Base year revenue (FY26)</t>
  </si>
  <si>
    <t xml:space="preserve">AUD m</t>
  </si>
  <si>
    <t xml:space="preserve">FY26 continuing-ops Explosives revenue. H1 actual AUD 1,610m; H2 implied ~AUD 1,790m given FY26 EBIT guidance midpoint AUD 480m at ~14% margin. Excludes discontinued Phosphate Hill.</t>
  </si>
  <si>
    <t xml:space="preserve">Base year EBIT margin (Group, FY26)</t>
  </si>
  <si>
    <t xml:space="preserve">%</t>
  </si>
  <si>
    <t xml:space="preserve">FY26 Group EBIT = Explosives EBIT AUD 480m (midpoint guidance) - Corporate costs AUD 40m = AUD 440m. AUD 440m / AUD 3,400m = 12.9%.</t>
  </si>
  <si>
    <t xml:space="preserve">Steady-state capex/revenue (long run)</t>
  </si>
  <si>
    <t xml:space="preserve">Pre-demerger normalised. FY26 transitionally elevated.</t>
  </si>
  <si>
    <t xml:space="preserve">FY26-27 capex/revenue (transition)</t>
  </si>
  <si>
    <t xml:space="preserve">FY26 guidance AUD 250-300m on AUD 3,400m revenue = ~8%. Tapers to steady state by FY30.</t>
  </si>
  <si>
    <t xml:space="preserve">D&amp;A / revenue</t>
  </si>
  <si>
    <t xml:space="preserve">Approximate steady-state ratio.</t>
  </si>
  <si>
    <t xml:space="preserve">Tax rate (effective, FY26 guidance)</t>
  </si>
  <si>
    <t xml:space="preserve">FY26 effective tax rate ex IMIs guided 20-25%. Lower than 30% statutory due to franking, R&amp;D, foreign tax credits.</t>
  </si>
  <si>
    <t xml:space="preserve">Working capital change</t>
  </si>
  <si>
    <t xml:space="preserve">AUD m / yr</t>
  </si>
  <si>
    <t xml:space="preserve">Smoke-test simplification: neutral. Step 6 production translator will derive from working_capital_days x revenue growth.</t>
  </si>
  <si>
    <t xml:space="preserve">SCENARIO MACRO BASELINE (Muddle Through)</t>
  </si>
  <si>
    <t xml:space="preserve">DM real GDP growth</t>
  </si>
  <si>
    <t xml:space="preserve">Aus 1.8-2.2%, US 1.8-2.2%; central estimate 2.0%.</t>
  </si>
  <si>
    <t xml:space="preserve">DM inflation (normalising)</t>
  </si>
  <si>
    <t xml:space="preserve">Gradually normalising from current ~3% toward target 2%; central 2.5%.</t>
  </si>
  <si>
    <t xml:space="preserve">Global mining real growth</t>
  </si>
  <si>
    <t xml:space="preserve">Tracks real GDP with EM mining-volume tilt; +50bps from depletion / ore-grade decline.</t>
  </si>
  <si>
    <t xml:space="preserve">Gas price growth (input cost proxy)</t>
  </si>
  <si>
    <t xml:space="preserve">No commodity boom in Muddle Through; tracks long-run inflation.</t>
  </si>
  <si>
    <t xml:space="preserve">DM nominal GDP (derived)</t>
  </si>
  <si>
    <t xml:space="preserve">(1+real)*(1+inflation)-1</t>
  </si>
  <si>
    <t xml:space="preserve">INDUSTRY ARCHETYPE TRANSLATION (industrial explosives)</t>
  </si>
  <si>
    <t xml:space="preserve">Volume formula coefficient (a)</t>
  </si>
  <si>
    <t xml:space="preserve">volume_growth = a * mining_real_growth + b</t>
  </si>
  <si>
    <t xml:space="preserve">Volume formula constant (b)</t>
  </si>
  <si>
    <t xml:space="preserve">Pickup from ore-grade decline / waste tonnage growth.</t>
  </si>
  <si>
    <t xml:space="preserve">Industry volume growth (derived)</t>
  </si>
  <si>
    <t xml:space="preserve">a * mining_real_growth + b</t>
  </si>
  <si>
    <t xml:space="preserve">Pricing weight on inflation</t>
  </si>
  <si>
    <t xml:space="preserve">70% of price tracks DM inflation (broad cost base).</t>
  </si>
  <si>
    <t xml:space="preserve">Pricing weight on gas</t>
  </si>
  <si>
    <t xml:space="preserve">30% of price tracks gas input cost (ammonia/AN feedstock).</t>
  </si>
  <si>
    <t xml:space="preserve">Productivity sharing (bps)</t>
  </si>
  <si>
    <t xml:space="preserve">50bps net per year — long-run productivity uplift shared with customers.</t>
  </si>
  <si>
    <t xml:space="preserve">Industry pricing growth (derived)</t>
  </si>
  <si>
    <t xml:space="preserve">pricing_weight_inflation * DM_inflation + pricing_weight_gas * gas_price_growth + productivity_sharing</t>
  </si>
  <si>
    <t xml:space="preserve">Industry nominal growth (derived)</t>
  </si>
  <si>
    <t xml:space="preserve">(1 + vol) * (1 + price) - 1</t>
  </si>
  <si>
    <t xml:space="preserve">DNL COMPANY-POSITION OFFSETS</t>
  </si>
  <si>
    <t xml:space="preserve">DM weighting (Aus + US)</t>
  </si>
  <si>
    <t xml:space="preserve">DNL geographic mix: ~55% US + ~35% Australia = 90% mature markets.</t>
  </si>
  <si>
    <t xml:space="preserve">EM weighting (DNEL: LATAM/EMEA)</t>
  </si>
  <si>
    <t xml:space="preserve">~10% EMEA/LATAM via DNEL — growing but small base.</t>
  </si>
  <si>
    <t xml:space="preserve">EM growth premium vs DM (multiplier)</t>
  </si>
  <si>
    <t xml:space="preserve">EM mining-services markets growing ~30% faster than DM in nominal terms.</t>
  </si>
  <si>
    <t xml:space="preserve">Geographic-mix multiplier (derived)</t>
  </si>
  <si>
    <t xml:space="preserve">DM weight + EM weight * EM premium. Applies to industry growth.</t>
  </si>
  <si>
    <t xml:space="preserve">DNL company offset (bps)</t>
  </si>
  <si>
    <t xml:space="preserve">Mature-market drag net of DNEL pipeline. -50bps central case.</t>
  </si>
  <si>
    <t xml:space="preserve">DNL nominal revenue growth (derived)</t>
  </si>
  <si>
    <t xml:space="preserve">industry_nominal * geo_mix_multiplier + company_offset</t>
  </si>
  <si>
    <t xml:space="preserve">MARGIN GLIDE PATH (transformation overlay)</t>
  </si>
  <si>
    <t xml:space="preserve">FY27 margin delta (Year 1)</t>
  </si>
  <si>
    <t xml:space="preserve">pp</t>
  </si>
  <si>
    <t xml:space="preserve">+100bps from transformation residual. Reaches ~13.9% Group EBIT margin.</t>
  </si>
  <si>
    <t xml:space="preserve">FY28 margin delta (Year 2 cum)</t>
  </si>
  <si>
    <t xml:space="preserve">+200bps cumulative. Aligns to AUD 600m EBIT ambition (Explosives) less corporate.</t>
  </si>
  <si>
    <t xml:space="preserve">FY29 margin delta (Year 3 cum)</t>
  </si>
  <si>
    <t xml:space="preserve">+220bps cumulative. Final transformation tail.</t>
  </si>
  <si>
    <t xml:space="preserve">FY30 margin delta (Year 4 cum)</t>
  </si>
  <si>
    <t xml:space="preserve">Steady state (transformation complete).</t>
  </si>
  <si>
    <t xml:space="preserve">FY31 margin delta (Year 5 cum)</t>
  </si>
  <si>
    <t xml:space="preserve">Steady state.</t>
  </si>
  <si>
    <t xml:space="preserve">WACC COMPONENT BUILD-UP</t>
  </si>
  <si>
    <t xml:space="preserve">Risk-free rate (Rf)</t>
  </si>
  <si>
    <t xml:space="preserve">10Y AUD govt bond yield (May 2026).</t>
  </si>
  <si>
    <t xml:space="preserve">Equity risk premium (ERP)</t>
  </si>
  <si>
    <t xml:space="preserve">Mature-Australia ERP (Damodaran-style).</t>
  </si>
  <si>
    <t xml:space="preserve">Beta</t>
  </si>
  <si>
    <t xml:space="preserve">Pre-demerger IPL 1.05-1.10; +10bps for pure-play mining-cycle exposure.</t>
  </si>
  <si>
    <t xml:space="preserve">Cost of debt (pre-tax)</t>
  </si>
  <si>
    <t xml:space="preserve">AUD BBB spread ~170bps over 10Y sovereign.</t>
  </si>
  <si>
    <t xml:space="preserve">Equity market value (E)</t>
  </si>
  <si>
    <t xml:space="preserve">Per H1 disclosure: AUD 6,390.4m market cap at 21 May 2026 (~1,770m shares at AUD 3.61).</t>
  </si>
  <si>
    <t xml:space="preserve">Debt market value (D)</t>
  </si>
  <si>
    <t xml:space="preserve">Reported net debt at 31 Mar 2026 H1 anchor.</t>
  </si>
  <si>
    <t xml:space="preserve">TERMINAL-STATE ASSUMPTIONS</t>
  </si>
  <si>
    <t xml:space="preserve">Terminal growth rate</t>
  </si>
  <si>
    <t xml:space="preserve">GDP-adjacent Australian long-run nominal trend.</t>
  </si>
  <si>
    <t xml:space="preserve">Horizon (explicit years)</t>
  </si>
  <si>
    <t xml:space="preserve">Phase 3.5 setting; Step 7 production may extend to 10.</t>
  </si>
  <si>
    <t xml:space="preserve">SHARE COUNT (anchor-date paired)</t>
  </si>
  <si>
    <t xml:space="preserve">Shares outstanding (period-end H1 FY26)</t>
  </si>
  <si>
    <t xml:space="preserve">m</t>
  </si>
  <si>
    <t xml:space="preserve">Back-solved from H1 NPAT ex IMIs AUD 161m / EPS ex IMIs 9.0cps = 1,789m weighted avg, less ~half H1 buyback of 38m shares = ~1,770m at 31 Mar 2026. Anchor-date paired to net debt.</t>
  </si>
  <si>
    <t xml:space="preserve">PERIOD A WALK (31 Mar 2026 anchor -&gt; 25 May 2026 valuation)</t>
  </si>
  <si>
    <t xml:space="preserve">Days in Period A</t>
  </si>
  <si>
    <t xml:space="preserve">days</t>
  </si>
  <si>
    <t xml:space="preserve">31 March 2026 -&gt; 25 May 2026.</t>
  </si>
  <si>
    <t xml:space="preserve">Period A in years</t>
  </si>
  <si>
    <t xml:space="preserve">55/365.</t>
  </si>
  <si>
    <t xml:space="preserve">H1 operating cash flow run rate (AUD m / yr)</t>
  </si>
  <si>
    <t xml:space="preserve">H1 AUD 145m * 2. Conservative — H2 typically higher.</t>
  </si>
  <si>
    <t xml:space="preserve">H1 capex run rate (AUD m / yr)</t>
  </si>
  <si>
    <t xml:space="preserve">H1 AUD 128m * 2.</t>
  </si>
  <si>
    <t xml:space="preserve">Estimated buyback in Period A</t>
  </si>
  <si>
    <t xml:space="preserve">Buyback resumed 12 May; ~13 days at ~AUD 2m/day pace.</t>
  </si>
  <si>
    <t xml:space="preserve">EQUITY-BRIDGE ADJUSTMENTS (per methodology section 4)</t>
  </si>
  <si>
    <t xml:space="preserve">Declared unpaid dividend (interim, 11 May 2026)</t>
  </si>
  <si>
    <t xml:space="preserve">4.6cps unfranked x 1,770m shares. Declared post-anchor (11 May 2026); not yet in 31 Mar net debt. Add to net debt for bridge.</t>
  </si>
  <si>
    <t xml:space="preserve">Phosphate Hill ARO commitment</t>
  </si>
  <si>
    <t xml:space="preserve">Per H1 announcement: ~AUD 126m allocated for future rehab + remediation at Phosphate Hill.</t>
  </si>
  <si>
    <t xml:space="preserve">Phosphate Hill ARO provided at anchor</t>
  </si>
  <si>
    <t xml:space="preserve">Per H1 disclosure: AUD 82m of Phosphate Hill ARO reclassified as Held for Sale (still on BS).</t>
  </si>
  <si>
    <t xml:space="preserve">Phosphate Hill ARO net add-back (derived)</t>
  </si>
  <si>
    <t xml:space="preserve">Commitment less existing provision.</t>
  </si>
  <si>
    <t xml:space="preserve">Phosphate Hill inventory commitment</t>
  </si>
  <si>
    <t xml:space="preserve">Per H1 announcement: ~AUD 80m worth of inventory to be supplied to Mayfair on completion. Assume not already provided.</t>
  </si>
  <si>
    <t xml:space="preserve">Restructure execution cash cost (remaining)</t>
  </si>
  <si>
    <t xml:space="preserve">Estimated remaining transformation cash costs (~AUD 8m/yr declining over 18 months). Required by methodology section 4.4 consistency rule (we model the benefit so must model the cost).</t>
  </si>
  <si>
    <t xml:space="preserve">Perdaman contingent receivable (face)</t>
  </si>
  <si>
    <t xml:space="preserve">Up to AUD 145m subject to operational milestones; project commencement expected 2027. AASB 15 likely constrains to nil on the BS today.</t>
  </si>
  <si>
    <t xml:space="preserve">Probability of full receipt</t>
  </si>
  <si>
    <t xml:space="preserve">Central case; project execution risk + milestone gates.</t>
  </si>
  <si>
    <t xml:space="preserve">Perdaman expected value (derived)</t>
  </si>
  <si>
    <t xml:space="preserve">Face x probability.</t>
  </si>
  <si>
    <t xml:space="preserve">MARKET REFERENCE</t>
  </si>
  <si>
    <t xml:space="preserve">Share price (21 May 2026)</t>
  </si>
  <si>
    <t xml:space="preserve">AUD/sh</t>
  </si>
  <si>
    <t xml:space="preserve">ASX close.</t>
  </si>
  <si>
    <t xml:space="preserve">Wall Street consensus target</t>
  </si>
  <si>
    <t xml:space="preserve">Per EODHD analyst summary.</t>
  </si>
  <si>
    <t xml:space="preserve">DNL P&amp;L summary — historicals + Muddle Through 5-year forecast (continuing ops, AUD m)</t>
  </si>
  <si>
    <t xml:space="preserve">Period</t>
  </si>
  <si>
    <t xml:space="preserve">FY2024</t>
  </si>
  <si>
    <t xml:space="preserve">FY2025</t>
  </si>
  <si>
    <t xml:space="preserve">H1 FY26 (act)</t>
  </si>
  <si>
    <t xml:space="preserve">FY26 (base est)</t>
  </si>
  <si>
    <t xml:space="preserve">Y1 (FY27e)</t>
  </si>
  <si>
    <t xml:space="preserve">Y2 (FY28e)</t>
  </si>
  <si>
    <t xml:space="preserve">Y3 (FY29e)</t>
  </si>
  <si>
    <t xml:space="preserve">Y4 (FY30e)</t>
  </si>
  <si>
    <t xml:space="preserve">Y5 (FY31e)</t>
  </si>
  <si>
    <t xml:space="preserve">Notes</t>
  </si>
  <si>
    <t xml:space="preserve">REVENUE (continuing operations: Explosives only)</t>
  </si>
  <si>
    <t xml:space="preserve">Revenue</t>
  </si>
  <si>
    <t xml:space="preserve">FY24/25 historical group revenue (combined entity). FY26 = continuing-ops Explosives only. Forecast grows at DNL Muddle Through chain-derived rate.</t>
  </si>
  <si>
    <t xml:space="preserve">  y/y growth</t>
  </si>
  <si>
    <t xml:space="preserve">FY26 vs FY25 grows in continuing-ops terms (after Phosphate Hill exit) — direct compare misleading.</t>
  </si>
  <si>
    <t xml:space="preserve">EBIT (Group; ex IMIs)</t>
  </si>
  <si>
    <t xml:space="preserve">EBIT margin (applied)</t>
  </si>
  <si>
    <t xml:space="preserve">FY26 base + transformation glide path (margin delta per year, cumulative).</t>
  </si>
  <si>
    <t xml:space="preserve">EBIT</t>
  </si>
  <si>
    <t xml:space="preserve">Revenue x margin. FY26 reconciles to AUD 440m (= AUD 480m Explosives midpoint - AUD 40m Corporate).</t>
  </si>
  <si>
    <t xml:space="preserve">BELOW EBIT</t>
  </si>
  <si>
    <t xml:space="preserve">Tax on EBIT (effective rate)</t>
  </si>
  <si>
    <t xml:space="preserve">Effective rate per FY26 guidance midpoint (22.5%); franking + R&amp;D + foreign tax credits.</t>
  </si>
  <si>
    <t xml:space="preserve">NOPAT (Group)</t>
  </si>
  <si>
    <t xml:space="preserve">DNL balance sheet summary at 31 March 2026 (H1 FY26 anchor; AUD m)</t>
  </si>
  <si>
    <t xml:space="preserve">Line</t>
  </si>
  <si>
    <t xml:space="preserve">ASSETS</t>
  </si>
  <si>
    <t xml:space="preserve">Total assets (per H1 disclosure)</t>
  </si>
  <si>
    <t xml:space="preserve">Down from AUD 6,199m at 30 Sep 2025 (Phosphate Hill reclass + FX).</t>
  </si>
  <si>
    <t xml:space="preserve">LIABILITIES</t>
  </si>
  <si>
    <t xml:space="preserve">Environmental &amp; restructure liabilities</t>
  </si>
  <si>
    <t xml:space="preserve">Down AUD 125m H/H: AUD 82m of Phosphate Hill ARO reclassified to Held for Sale; AUD 33m payments. Net remaining ARO obligation already substantially provided.</t>
  </si>
  <si>
    <t xml:space="preserve">Lease liabilities</t>
  </si>
  <si>
    <t xml:space="preserve">AASB 16 leases.</t>
  </si>
  <si>
    <t xml:space="preserve">Net debt (reported, H1 anchor)</t>
  </si>
  <si>
    <t xml:space="preserve">Interest-bearing liabilities + capital leases - cash - hedging derivatives. Up AUD 80m H/H driven by buyback AUD 128m + dividends paid AUD 170m, offset by Gibson Island sale proceeds AUD 198m.</t>
  </si>
  <si>
    <t xml:space="preserve">Net liabilities classified as held for sale</t>
  </si>
  <si>
    <t xml:space="preserve">Phosphate Hill (sale binding agreement signed March 2026).</t>
  </si>
  <si>
    <t xml:space="preserve">Total liabilities</t>
  </si>
  <si>
    <t xml:space="preserve">Net assets / Total equity</t>
  </si>
  <si>
    <t xml:space="preserve">Down AUD 385m H/H — Phosphate Hill IMI write-down + capital returns.</t>
  </si>
  <si>
    <t xml:space="preserve">CREDIT METRICS</t>
  </si>
  <si>
    <t xml:space="preserve">Net debt / EBITDA (TTM)</t>
  </si>
  <si>
    <t xml:space="preserve">Per H1 disclosure. Well within 2.0x policy.</t>
  </si>
  <si>
    <t xml:space="preserve">Interest cover</t>
  </si>
  <si>
    <t xml:space="preserve">Per H1 disclosure. Above 6.0x target.</t>
  </si>
  <si>
    <t xml:space="preserve">Credit rating (S&amp;P)</t>
  </si>
  <si>
    <t xml:space="preserve">BBB stable</t>
  </si>
  <si>
    <t xml:space="preserve">Per H1 disclosure.</t>
  </si>
  <si>
    <t xml:space="preserve">Credit rating (Moody's)</t>
  </si>
  <si>
    <t xml:space="preserve">Baa2 stable</t>
  </si>
  <si>
    <t xml:space="preserve">NET DEBT EVOLUTION (per methodology section 7)</t>
  </si>
  <si>
    <t xml:space="preserve">Net debt at 31 Mar 2026 (anchor)</t>
  </si>
  <si>
    <t xml:space="preserve">Same as row 10; restated as starting point for Period A walk.</t>
  </si>
  <si>
    <t xml:space="preserve">Period A walk forward (-&gt; 25 May 2026)</t>
  </si>
  <si>
    <t xml:space="preserve">From dedicated Period A calc; see Equity Bridge tab.</t>
  </si>
  <si>
    <t xml:space="preserve">Net debt at 25 May 2026 (valuation date)</t>
  </si>
  <si>
    <t xml:space="preserve">Reported net debt walked to valuation date.</t>
  </si>
  <si>
    <t xml:space="preserve">DNL WACC component build-up (Muddle Through)</t>
  </si>
  <si>
    <t xml:space="preserve">Source / formula</t>
  </si>
  <si>
    <t xml:space="preserve">COST OF EQUITY (CAPM)</t>
  </si>
  <si>
    <t xml:space="preserve">10Y AUD govt bond.</t>
  </si>
  <si>
    <t xml:space="preserve">Mature-Aus ERP.</t>
  </si>
  <si>
    <t xml:space="preserve">Pre-demerger IPL 1.05-1.10; pure-play uplift.</t>
  </si>
  <si>
    <t xml:space="preserve">Cost of equity (Re)</t>
  </si>
  <si>
    <t xml:space="preserve">Re = Rf + Beta x ERP.</t>
  </si>
  <si>
    <t xml:space="preserve">COST OF DEBT (AFTER-TAX)</t>
  </si>
  <si>
    <t xml:space="preserve">Cost of debt, pre-tax (Rd)</t>
  </si>
  <si>
    <t xml:space="preserve">BBB spread ~170bps over 10Y AUD sovereign.</t>
  </si>
  <si>
    <t xml:space="preserve">Tax rate</t>
  </si>
  <si>
    <t xml:space="preserve">Effective rate per FY26 guidance midpoint.</t>
  </si>
  <si>
    <t xml:space="preserve">Cost of debt, after-tax</t>
  </si>
  <si>
    <t xml:space="preserve">Rd_after_tax = Rd_pretax x (1 - tax).</t>
  </si>
  <si>
    <t xml:space="preserve">CAPITAL-STRUCTURE WEIGHTS (market value)</t>
  </si>
  <si>
    <t xml:space="preserve">Per H1 disclosure: AUD 6,390m at 21 May 2026.</t>
  </si>
  <si>
    <t xml:space="preserve">Reported net debt 31 Mar 2026.</t>
  </si>
  <si>
    <t xml:space="preserve">Enterprise value (V = E + D)</t>
  </si>
  <si>
    <t xml:space="preserve">Equity weight (E/V)</t>
  </si>
  <si>
    <t xml:space="preserve">Debt weight (D/V)</t>
  </si>
  <si>
    <t xml:space="preserve">WACC</t>
  </si>
  <si>
    <t xml:space="preserve">Baseline WACC</t>
  </si>
  <si>
    <t xml:space="preserve">WACC = (E/V) x Re + (D/V) x Rd_after_tax.</t>
  </si>
  <si>
    <t xml:space="preserve">DNL IMI Register — H1 FY26</t>
  </si>
  <si>
    <t xml:space="preserve">IMI item</t>
  </si>
  <si>
    <t xml:space="preserve">After tax (AUD m)</t>
  </si>
  <si>
    <t xml:space="preserve">Gross (AUD m)</t>
  </si>
  <si>
    <t xml:space="preserve">P&amp;L line</t>
  </si>
  <si>
    <t xml:space="preserve">Frequency context</t>
  </si>
  <si>
    <t xml:space="preserve">Default lean</t>
  </si>
  <si>
    <t xml:space="preserve">Applied</t>
  </si>
  <si>
    <t xml:space="preserve">Phosphate Hill impairment + site exit costs</t>
  </si>
  <si>
    <t xml:space="preserve">above_ebit</t>
  </si>
  <si>
    <t xml:space="preserve">First occurrence; tied to specific divestment (Phosphate Hill sale binding agreement signed March 2026).</t>
  </si>
  <si>
    <t xml:space="preserve">accept_as_one_off</t>
  </si>
  <si>
    <t xml:space="preserve">strip</t>
  </si>
  <si>
    <t xml:space="preserve">IPF Distribution settlement / Gibson Island land</t>
  </si>
  <si>
    <t xml:space="preserve">below_ebit</t>
  </si>
  <si>
    <t xml:space="preserve">Tied to FY25 divestments; final purchase-price adjustments. Will not recur.</t>
  </si>
  <si>
    <t xml:space="preserve">Business transformation costs</t>
  </si>
  <si>
    <t xml:space="preserve">Appeared in FY24, FY25, FY26 H1 (3 consecutive years). Fertilisers separation now complete (March 2026); expected to roll off over 12-18 months.</t>
  </si>
  <si>
    <t xml:space="preserve">partial_recur (borderline)</t>
  </si>
  <si>
    <t xml:space="preserve">Total IMIs (H1 FY26)</t>
  </si>
  <si>
    <t xml:space="preserve">VALUATION IMPACT (continuing forward run-rate)</t>
  </si>
  <si>
    <t xml:space="preserve">Forward annual transformation IMI run-rate (after tax)</t>
  </si>
  <si>
    <t xml:space="preserve">If 'keep' transformation costs in underlying: AUD ~8m/yr after tax for next 12-18 months, declining to nil.</t>
  </si>
  <si>
    <t xml:space="preserve">Switch: apply transformation costs to forecast?</t>
  </si>
  <si>
    <t xml:space="preserve">Default = NO (strip per Tara's view: fertilisers separation done, transformation winding down). Toggle to YES to apply costs.</t>
  </si>
  <si>
    <t xml:space="preserve">NO</t>
  </si>
  <si>
    <t xml:space="preserve">DNL DCF — Muddle Through (stub + 5-yr explicit + Gordon-growth terminal)</t>
  </si>
  <si>
    <t xml:space="preserve">Stub (May-Sep 26)</t>
  </si>
  <si>
    <t xml:space="preserve">Y1 (FY27)</t>
  </si>
  <si>
    <t xml:space="preserve">Y2 (FY28)</t>
  </si>
  <si>
    <t xml:space="preserve">Y3 (FY29)</t>
  </si>
  <si>
    <t xml:space="preserve">Y4 (FY30)</t>
  </si>
  <si>
    <t xml:space="preserve">Y5 (FY31)</t>
  </si>
  <si>
    <t xml:space="preserve">Terminal</t>
  </si>
  <si>
    <t xml:space="preserve">INPUTS (linked from P&amp;L Summary; stub pro-rated)</t>
  </si>
  <si>
    <t xml:space="preserve">Revenue (AUD m)</t>
  </si>
  <si>
    <t xml:space="preserve">Stub = stub_years x FY26 base. Y1-Y5 linked from P&amp;L (already grown by chain-derived rate).</t>
  </si>
  <si>
    <t xml:space="preserve">EBIT margin</t>
  </si>
  <si>
    <t xml:space="preserve">  less: transformation IMI costs (if applied)</t>
  </si>
  <si>
    <t xml:space="preserve">EBIT (applied basis)</t>
  </si>
  <si>
    <t xml:space="preserve">FCF BRIDGE</t>
  </si>
  <si>
    <t xml:space="preserve">Less: tax on EBIT</t>
  </si>
  <si>
    <t xml:space="preserve">NOPAT</t>
  </si>
  <si>
    <t xml:space="preserve">Plus: D&amp;A</t>
  </si>
  <si>
    <t xml:space="preserve">Less: capex</t>
  </si>
  <si>
    <t xml:space="preserve">Less: change in WC</t>
  </si>
  <si>
    <t xml:space="preserve">Unlevered FCFF</t>
  </si>
  <si>
    <t xml:space="preserve">DISCOUNTING (mid-period, from valuation date)</t>
  </si>
  <si>
    <t xml:space="preserve">Time to mid-cash-flow (yrs from val date)</t>
  </si>
  <si>
    <t xml:space="preserve">Discount factor</t>
  </si>
  <si>
    <t xml:space="preserve">PV of FCFF</t>
  </si>
  <si>
    <t xml:space="preserve">TERMINAL VALUE (Gordon growth)</t>
  </si>
  <si>
    <t xml:space="preserve">Terminal growth</t>
  </si>
  <si>
    <t xml:space="preserve">Terminal-year FCF (Y5 FCF x (1+g))</t>
  </si>
  <si>
    <t xml:space="preserve">Terminal value (TFCF / (WACC-g))</t>
  </si>
  <si>
    <t xml:space="preserve">Time to end Y5 (yrs from val date)</t>
  </si>
  <si>
    <t xml:space="preserve">Discount factor at end Y5</t>
  </si>
  <si>
    <t xml:space="preserve">PV of terminal value</t>
  </si>
  <si>
    <t xml:space="preserve">ENTERPRISE VALUE</t>
  </si>
  <si>
    <t xml:space="preserve">Sum PV explicit FCFF (stub + Y1-Y5)</t>
  </si>
  <si>
    <t xml:space="preserve">Plus: PV terminal</t>
  </si>
  <si>
    <t xml:space="preserve">Enterprise value (EV)</t>
  </si>
  <si>
    <t xml:space="preserve">Terminal share of EV (diagnostic)</t>
  </si>
  <si>
    <t xml:space="preserve">DNL Equity Bridge — EV to value per share</t>
  </si>
  <si>
    <t xml:space="preserve">Component</t>
  </si>
  <si>
    <t xml:space="preserve">Running net debt</t>
  </si>
  <si>
    <t xml:space="preserve">PERIOD A WALK (anchor -&gt; valuation date)</t>
  </si>
  <si>
    <t xml:space="preserve">From Assumptions; H1 reported net debt.</t>
  </si>
  <si>
    <t xml:space="preserve">  less: operating cash flow in Period A</t>
  </si>
  <si>
    <t xml:space="preserve">Operating cash inflow reduces net debt. Run rate x Period A in years.</t>
  </si>
  <si>
    <t xml:space="preserve">  plus: capex paid in Period A</t>
  </si>
  <si>
    <t xml:space="preserve">Capex increases net debt.</t>
  </si>
  <si>
    <t xml:space="preserve">  plus: buyback completed in Period A</t>
  </si>
  <si>
    <t xml:space="preserve">Buyback cash outflow; value-neutral per methodology section 5.2 (so doesn't affect per-share), but increases net debt.</t>
  </si>
  <si>
    <t xml:space="preserve">Net debt walk subtotal</t>
  </si>
  <si>
    <t xml:space="preserve">Plus: declared unpaid dividend (interim, 11 May 2026)</t>
  </si>
  <si>
    <t xml:space="preserve">Declared post-anchor; not in net debt under DNL's narrow definition. AASB liability; will be paid July 2026.</t>
  </si>
  <si>
    <t xml:space="preserve">Plus: Phosphate Hill ARO net gap</t>
  </si>
  <si>
    <t xml:space="preserve">Commitment AUD 126m less existing provision AUD 82m. Restructure-consistency rule: we assume the benefit (no Phosphate Hill loss in forecast) so must include the cost.</t>
  </si>
  <si>
    <t xml:space="preserve">Plus: Phosphate Hill inventory commitment</t>
  </si>
  <si>
    <t xml:space="preserve">Inventory to be transferred at completion. Not yet provided.</t>
  </si>
  <si>
    <t xml:space="preserve">Plus: restructure execution cash cost</t>
  </si>
  <si>
    <t xml:space="preserve">Remaining transformation cash costs. Required by methodology section 4.4.</t>
  </si>
  <si>
    <t xml:space="preserve">Less: Perdaman contingent receivable (prob-wtd)</t>
  </si>
  <si>
    <t xml:space="preserve">Constrained under AASB 15 (not on BS). Probability-weighted face value.</t>
  </si>
  <si>
    <t xml:space="preserve">Total equity-bridge adjustments</t>
  </si>
  <si>
    <t xml:space="preserve">VALUE PER SHARE</t>
  </si>
  <si>
    <t xml:space="preserve">Enterprise value (from DCF)</t>
  </si>
  <si>
    <t xml:space="preserve">Less: net debt at valuation date</t>
  </si>
  <si>
    <t xml:space="preserve">Less: equity-bridge adjustments (net)</t>
  </si>
  <si>
    <t xml:space="preserve">Equity value</t>
  </si>
  <si>
    <t xml:space="preserve">Divided by shares outstanding (period-end H1)</t>
  </si>
  <si>
    <t xml:space="preserve">MARKET CHECK</t>
  </si>
  <si>
    <t xml:space="preserve">Market reference per share</t>
  </si>
  <si>
    <t xml:space="preserve">Discount / (premium) vs market</t>
  </si>
  <si>
    <t xml:space="preserve">Negative = our valuation below market; positive = above. Muddle Through is the more-sceptical-than-market case by design.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</si>
</sst>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@"/>
    <numFmt numFmtId="166" formatCode="0.000"/>
    <numFmt numFmtId="167" formatCode="#,##0;\(#,##0\);\-"/>
    <numFmt numFmtId="168" formatCode="0.0%;\(0.0%\);\-"/>
    <numFmt numFmtId="169" formatCode="0.00%;\(0.00%\);\-"/>
    <numFmt numFmtId="170" formatCode="0.00"/>
    <numFmt numFmtId="171" formatCode="0.0"/>
    <numFmt numFmtId="172" formatCode="0"/>
    <numFmt numFmtId="173" formatCode="&quot;AUD &quot;0.00"/>
    <numFmt numFmtId="174" formatCode="0.0\x"/>
    <numFmt numFmtId="175" formatCode="#,##0.0;\(#,##0.0\);\-"/>
    <numFmt numFmtId="176" formatCode="0.0000"/>
    <numFmt numFmtId="177" formatCode="&quot;AUD &quot;#,##0.00;&quot;(AUD &quot;#,##0.00\);\-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b val="true"/>
      <sz val="16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5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2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2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5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3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1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3" min="3" style="1" width="70"/>
  </cols>
  <sheetData>
    <row r="1" customFormat="false" ht="19.5" hidden="false" customHeight="true" outlineLevel="0" collapsed="false">
      <c r="B1" s="2" t="s">
        <v>0</v>
      </c>
    </row>
    <row r="3" customFormat="false" ht="15" hidden="false" customHeight="true" outlineLevel="0" collapsed="false">
      <c r="B3" s="3" t="s">
        <v>1</v>
      </c>
      <c r="C3" s="4" t="s">
        <v>2</v>
      </c>
    </row>
    <row r="4" customFormat="false" ht="15" hidden="false" customHeight="true" outlineLevel="0" collapsed="false">
      <c r="B4" s="3" t="s">
        <v>3</v>
      </c>
      <c r="C4" s="4" t="s">
        <v>4</v>
      </c>
    </row>
    <row r="5" customFormat="false" ht="15" hidden="false" customHeight="true" outlineLevel="0" collapsed="false">
      <c r="B5" s="3" t="s">
        <v>5</v>
      </c>
      <c r="C5" s="4" t="s">
        <v>6</v>
      </c>
    </row>
    <row r="6" customFormat="false" ht="15" hidden="false" customHeight="true" outlineLevel="0" collapsed="false">
      <c r="B6" s="3" t="s">
        <v>7</v>
      </c>
      <c r="C6" s="4" t="s">
        <v>8</v>
      </c>
    </row>
    <row r="7" customFormat="false" ht="15" hidden="false" customHeight="true" outlineLevel="0" collapsed="false">
      <c r="B7" s="3" t="s">
        <v>9</v>
      </c>
      <c r="C7" s="4" t="s">
        <v>10</v>
      </c>
    </row>
    <row r="8" customFormat="false" ht="26.25" hidden="false" customHeight="true" outlineLevel="0" collapsed="false">
      <c r="B8" s="3" t="s">
        <v>11</v>
      </c>
      <c r="C8" s="4" t="s">
        <v>12</v>
      </c>
    </row>
    <row r="9" customFormat="false" ht="15" hidden="false" customHeight="true" outlineLevel="0" collapsed="false">
      <c r="B9" s="3"/>
      <c r="C9" s="4"/>
    </row>
    <row r="10" customFormat="false" ht="15" hidden="false" customHeight="true" outlineLevel="0" collapsed="false">
      <c r="B10" s="3" t="s">
        <v>13</v>
      </c>
      <c r="C10" s="4"/>
    </row>
    <row r="11" customFormat="false" ht="26.25" hidden="false" customHeight="true" outlineLevel="0" collapsed="false">
      <c r="B11" s="3" t="s">
        <v>14</v>
      </c>
      <c r="C11" s="4" t="s">
        <v>15</v>
      </c>
    </row>
    <row r="12" customFormat="false" ht="26.25" hidden="false" customHeight="true" outlineLevel="0" collapsed="false">
      <c r="B12" s="3" t="s">
        <v>16</v>
      </c>
      <c r="C12" s="4" t="s">
        <v>17</v>
      </c>
    </row>
    <row r="13" customFormat="false" ht="26.25" hidden="false" customHeight="true" outlineLevel="0" collapsed="false">
      <c r="B13" s="3" t="s">
        <v>18</v>
      </c>
      <c r="C13" s="4" t="s">
        <v>19</v>
      </c>
    </row>
    <row r="14" customFormat="false" ht="15" hidden="false" customHeight="true" outlineLevel="0" collapsed="false">
      <c r="B14" s="3" t="s">
        <v>20</v>
      </c>
      <c r="C14" s="4" t="s">
        <v>21</v>
      </c>
    </row>
    <row r="15" customFormat="false" ht="15" hidden="false" customHeight="true" outlineLevel="0" collapsed="false">
      <c r="B15" s="3" t="s">
        <v>22</v>
      </c>
      <c r="C15" s="4" t="s">
        <v>23</v>
      </c>
    </row>
    <row r="16" customFormat="false" ht="15" hidden="false" customHeight="true" outlineLevel="0" collapsed="false">
      <c r="B16" s="3" t="s">
        <v>24</v>
      </c>
      <c r="C16" s="4" t="s">
        <v>25</v>
      </c>
    </row>
    <row r="17" customFormat="false" ht="15" hidden="false" customHeight="true" outlineLevel="0" collapsed="false">
      <c r="B17" s="3" t="s">
        <v>26</v>
      </c>
      <c r="C17" s="4" t="s">
        <v>27</v>
      </c>
    </row>
    <row r="18" customFormat="false" ht="15" hidden="false" customHeight="true" outlineLevel="0" collapsed="false">
      <c r="B18" s="3" t="s">
        <v>28</v>
      </c>
      <c r="C18" s="4" t="s">
        <v>29</v>
      </c>
    </row>
    <row r="19" customFormat="false" ht="26.25" hidden="false" customHeight="true" outlineLevel="0" collapsed="false">
      <c r="B19" s="3" t="s">
        <v>30</v>
      </c>
      <c r="C19" s="4" t="s">
        <v>31</v>
      </c>
    </row>
    <row r="20" customFormat="false" ht="15" hidden="false" customHeight="true" outlineLevel="0" collapsed="false">
      <c r="B20" s="3"/>
      <c r="C20" s="4"/>
    </row>
    <row r="21" customFormat="false" ht="15" hidden="false" customHeight="true" outlineLevel="0" collapsed="false">
      <c r="B21" s="3" t="s">
        <v>32</v>
      </c>
      <c r="C21" s="4"/>
    </row>
    <row r="22" customFormat="false" ht="15" hidden="false" customHeight="true" outlineLevel="0" collapsed="false">
      <c r="B22" s="3" t="s">
        <v>33</v>
      </c>
      <c r="C22" s="4" t="s">
        <v>34</v>
      </c>
    </row>
    <row r="23" customFormat="false" ht="26.25" hidden="false" customHeight="true" outlineLevel="0" collapsed="false">
      <c r="B23" s="3" t="s">
        <v>35</v>
      </c>
      <c r="C23" s="4" t="s">
        <v>36</v>
      </c>
    </row>
    <row r="24" customFormat="false" ht="15" hidden="false" customHeight="true" outlineLevel="0" collapsed="false">
      <c r="B24" s="3" t="s">
        <v>37</v>
      </c>
      <c r="C24" s="4" t="s">
        <v>38</v>
      </c>
    </row>
    <row r="25" customFormat="false" ht="15" hidden="false" customHeight="true" outlineLevel="0" collapsed="false">
      <c r="B25" s="3" t="s">
        <v>39</v>
      </c>
      <c r="C25" s="4" t="s">
        <v>40</v>
      </c>
    </row>
    <row r="26" customFormat="false" ht="15" hidden="false" customHeight="true" outlineLevel="0" collapsed="false">
      <c r="B26" s="3" t="s">
        <v>41</v>
      </c>
      <c r="C26" s="4" t="s">
        <v>42</v>
      </c>
    </row>
    <row r="27" customFormat="false" ht="15" hidden="false" customHeight="true" outlineLevel="0" collapsed="false">
      <c r="B27" s="3" t="s">
        <v>28</v>
      </c>
      <c r="C27" s="4" t="s">
        <v>43</v>
      </c>
    </row>
    <row r="28" customFormat="false" ht="26.25" hidden="false" customHeight="true" outlineLevel="0" collapsed="false">
      <c r="B28" s="3" t="s">
        <v>44</v>
      </c>
      <c r="C28" s="4" t="s">
        <v>45</v>
      </c>
    </row>
    <row r="29" customFormat="false" ht="15" hidden="false" customHeight="true" outlineLevel="0" collapsed="false">
      <c r="B29" s="3" t="s">
        <v>30</v>
      </c>
      <c r="C29" s="4" t="s">
        <v>46</v>
      </c>
    </row>
    <row r="30" customFormat="false" ht="15" hidden="false" customHeight="true" outlineLevel="0" collapsed="false">
      <c r="B30" s="3"/>
      <c r="C30" s="4"/>
    </row>
    <row r="31" customFormat="false" ht="15" hidden="false" customHeight="true" outlineLevel="0" collapsed="false">
      <c r="B31" s="3" t="s">
        <v>47</v>
      </c>
      <c r="C31" s="4"/>
    </row>
    <row r="32" customFormat="false" ht="15" hidden="false" customHeight="true" outlineLevel="0" collapsed="false">
      <c r="B32" s="3" t="s">
        <v>48</v>
      </c>
      <c r="C32" s="4" t="s">
        <v>49</v>
      </c>
    </row>
    <row r="33" customFormat="false" ht="15" hidden="false" customHeight="true" outlineLevel="0" collapsed="false">
      <c r="B33" s="3" t="s">
        <v>50</v>
      </c>
      <c r="C33" s="4" t="s">
        <v>51</v>
      </c>
    </row>
    <row r="34" customFormat="false" ht="26.25" hidden="false" customHeight="true" outlineLevel="0" collapsed="false">
      <c r="B34" s="3" t="s">
        <v>52</v>
      </c>
      <c r="C34" s="4" t="s">
        <v>53</v>
      </c>
    </row>
    <row r="35" customFormat="false" ht="15" hidden="false" customHeight="true" outlineLevel="0" collapsed="false">
      <c r="B35" s="3" t="s">
        <v>54</v>
      </c>
      <c r="C35" s="4" t="s">
        <v>55</v>
      </c>
    </row>
    <row r="36" customFormat="false" ht="15" hidden="false" customHeight="true" outlineLevel="0" collapsed="false">
      <c r="B36" s="3" t="s">
        <v>56</v>
      </c>
      <c r="C36" s="4" t="s">
        <v>57</v>
      </c>
    </row>
    <row r="37" customFormat="false" ht="15" hidden="false" customHeight="true" outlineLevel="0" collapsed="false">
      <c r="B37" s="3"/>
      <c r="C37" s="4"/>
    </row>
    <row r="38" customFormat="false" ht="26.25" hidden="false" customHeight="true" outlineLevel="0" collapsed="false">
      <c r="B38" s="3" t="s">
        <v>58</v>
      </c>
      <c r="C38" s="4" t="s">
        <v>59</v>
      </c>
    </row>
    <row r="39" customFormat="false" ht="15" hidden="false" customHeight="true" outlineLevel="0" collapsed="false">
      <c r="B39" s="3"/>
      <c r="C39" s="4"/>
    </row>
    <row r="40" customFormat="false" ht="15" hidden="false" customHeight="true" outlineLevel="0" collapsed="false">
      <c r="B40" s="3" t="s">
        <v>60</v>
      </c>
      <c r="C40" s="4"/>
    </row>
    <row r="41" customFormat="false" ht="15" hidden="false" customHeight="true" outlineLevel="0" collapsed="false">
      <c r="B41" s="3" t="s">
        <v>61</v>
      </c>
      <c r="C41" s="4" t="s">
        <v>62</v>
      </c>
    </row>
    <row r="42" customFormat="false" ht="15" hidden="false" customHeight="true" outlineLevel="0" collapsed="false">
      <c r="B42" s="3" t="s">
        <v>63</v>
      </c>
      <c r="C42" s="4" t="s">
        <v>64</v>
      </c>
    </row>
    <row r="43" customFormat="false" ht="15" hidden="false" customHeight="true" outlineLevel="0" collapsed="false">
      <c r="B43" s="3" t="s">
        <v>65</v>
      </c>
      <c r="C43" s="4" t="s">
        <v>66</v>
      </c>
    </row>
    <row r="44" customFormat="false" ht="15" hidden="false" customHeight="true" outlineLevel="0" collapsed="false">
      <c r="B44" s="3" t="s">
        <v>67</v>
      </c>
      <c r="C44" s="4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65"/>
  </cols>
  <sheetData>
    <row r="1" customFormat="false" ht="21.75" hidden="false" customHeight="true" outlineLevel="0" collapsed="false">
      <c r="A1" s="5" t="s">
        <v>69</v>
      </c>
      <c r="B1" s="6" t="s">
        <v>70</v>
      </c>
      <c r="C1" s="6" t="s">
        <v>71</v>
      </c>
      <c r="D1" s="6" t="s">
        <v>72</v>
      </c>
    </row>
    <row r="2" customFormat="false" ht="19.5" hidden="false" customHeight="true" outlineLevel="0" collapsed="false">
      <c r="A2" s="5" t="s">
        <v>73</v>
      </c>
      <c r="B2" s="7"/>
      <c r="C2" s="7"/>
      <c r="D2" s="7"/>
    </row>
    <row r="3" customFormat="false" ht="15" hidden="false" customHeight="true" outlineLevel="0" collapsed="false">
      <c r="A3" s="4" t="s">
        <v>74</v>
      </c>
      <c r="B3" s="8" t="s">
        <v>75</v>
      </c>
      <c r="C3" s="9"/>
      <c r="D3" s="4" t="s">
        <v>76</v>
      </c>
    </row>
    <row r="4" customFormat="false" ht="26.25" hidden="false" customHeight="true" outlineLevel="0" collapsed="false">
      <c r="A4" s="4" t="s">
        <v>77</v>
      </c>
      <c r="B4" s="8" t="s">
        <v>78</v>
      </c>
      <c r="C4" s="9"/>
      <c r="D4" s="4" t="s">
        <v>79</v>
      </c>
    </row>
    <row r="5" customFormat="false" ht="15" hidden="false" customHeight="true" outlineLevel="0" collapsed="false">
      <c r="A5" s="4" t="s">
        <v>80</v>
      </c>
      <c r="B5" s="8" t="s">
        <v>81</v>
      </c>
      <c r="C5" s="9"/>
      <c r="D5" s="4" t="s">
        <v>82</v>
      </c>
    </row>
    <row r="6" customFormat="false" ht="26.25" hidden="false" customHeight="true" outlineLevel="0" collapsed="false">
      <c r="A6" s="4" t="s">
        <v>83</v>
      </c>
      <c r="B6" s="10" t="n">
        <v>0.351</v>
      </c>
      <c r="C6" s="9" t="s">
        <v>84</v>
      </c>
      <c r="D6" s="4" t="s">
        <v>85</v>
      </c>
    </row>
    <row r="8" customFormat="false" ht="19.5" hidden="false" customHeight="true" outlineLevel="0" collapsed="false">
      <c r="A8" s="5" t="s">
        <v>86</v>
      </c>
      <c r="B8" s="7"/>
      <c r="C8" s="7"/>
      <c r="D8" s="7"/>
    </row>
    <row r="9" customFormat="false" ht="39" hidden="false" customHeight="true" outlineLevel="0" collapsed="false">
      <c r="A9" s="4" t="s">
        <v>87</v>
      </c>
      <c r="B9" s="11" t="n">
        <v>3400</v>
      </c>
      <c r="C9" s="9" t="s">
        <v>88</v>
      </c>
      <c r="D9" s="4" t="s">
        <v>89</v>
      </c>
    </row>
    <row r="10" customFormat="false" ht="39" hidden="false" customHeight="true" outlineLevel="0" collapsed="false">
      <c r="A10" s="4" t="s">
        <v>90</v>
      </c>
      <c r="B10" s="12" t="n">
        <v>0.129</v>
      </c>
      <c r="C10" s="9" t="s">
        <v>91</v>
      </c>
      <c r="D10" s="4" t="s">
        <v>92</v>
      </c>
    </row>
    <row r="11" customFormat="false" ht="15" hidden="false" customHeight="true" outlineLevel="0" collapsed="false">
      <c r="A11" s="4" t="s">
        <v>93</v>
      </c>
      <c r="B11" s="13" t="n">
        <v>0.07</v>
      </c>
      <c r="C11" s="9" t="s">
        <v>91</v>
      </c>
      <c r="D11" s="4" t="s">
        <v>94</v>
      </c>
    </row>
    <row r="12" customFormat="false" ht="26.25" hidden="false" customHeight="true" outlineLevel="0" collapsed="false">
      <c r="A12" s="4" t="s">
        <v>95</v>
      </c>
      <c r="B12" s="13" t="n">
        <v>0.08</v>
      </c>
      <c r="C12" s="9" t="s">
        <v>91</v>
      </c>
      <c r="D12" s="4" t="s">
        <v>96</v>
      </c>
    </row>
    <row r="13" customFormat="false" ht="15" hidden="false" customHeight="true" outlineLevel="0" collapsed="false">
      <c r="A13" s="4" t="s">
        <v>97</v>
      </c>
      <c r="B13" s="13" t="n">
        <v>0.073</v>
      </c>
      <c r="C13" s="9" t="s">
        <v>91</v>
      </c>
      <c r="D13" s="4" t="s">
        <v>98</v>
      </c>
    </row>
    <row r="14" customFormat="false" ht="26.25" hidden="false" customHeight="true" outlineLevel="0" collapsed="false">
      <c r="A14" s="4" t="s">
        <v>99</v>
      </c>
      <c r="B14" s="12" t="n">
        <v>0.225</v>
      </c>
      <c r="C14" s="9" t="s">
        <v>91</v>
      </c>
      <c r="D14" s="4" t="s">
        <v>100</v>
      </c>
    </row>
    <row r="15" customFormat="false" ht="26.25" hidden="false" customHeight="true" outlineLevel="0" collapsed="false">
      <c r="A15" s="4" t="s">
        <v>101</v>
      </c>
      <c r="B15" s="14" t="n">
        <v>0</v>
      </c>
      <c r="C15" s="9" t="s">
        <v>102</v>
      </c>
      <c r="D15" s="4" t="s">
        <v>103</v>
      </c>
    </row>
    <row r="17" customFormat="false" ht="19.5" hidden="false" customHeight="true" outlineLevel="0" collapsed="false">
      <c r="A17" s="5" t="s">
        <v>104</v>
      </c>
      <c r="B17" s="7"/>
      <c r="C17" s="7"/>
      <c r="D17" s="7"/>
    </row>
    <row r="18" customFormat="false" ht="15" hidden="false" customHeight="true" outlineLevel="0" collapsed="false">
      <c r="A18" s="4" t="s">
        <v>105</v>
      </c>
      <c r="B18" s="15" t="n">
        <v>0.02</v>
      </c>
      <c r="C18" s="9" t="s">
        <v>91</v>
      </c>
      <c r="D18" s="4" t="s">
        <v>106</v>
      </c>
    </row>
    <row r="19" customFormat="false" ht="26.25" hidden="false" customHeight="true" outlineLevel="0" collapsed="false">
      <c r="A19" s="4" t="s">
        <v>107</v>
      </c>
      <c r="B19" s="15" t="n">
        <v>0.025</v>
      </c>
      <c r="C19" s="9" t="s">
        <v>91</v>
      </c>
      <c r="D19" s="4" t="s">
        <v>108</v>
      </c>
    </row>
    <row r="20" customFormat="false" ht="26.25" hidden="false" customHeight="true" outlineLevel="0" collapsed="false">
      <c r="A20" s="4" t="s">
        <v>109</v>
      </c>
      <c r="B20" s="15" t="n">
        <v>0.025</v>
      </c>
      <c r="C20" s="9" t="s">
        <v>91</v>
      </c>
      <c r="D20" s="4" t="s">
        <v>110</v>
      </c>
    </row>
    <row r="21" customFormat="false" ht="15" hidden="false" customHeight="true" outlineLevel="0" collapsed="false">
      <c r="A21" s="4" t="s">
        <v>111</v>
      </c>
      <c r="B21" s="15" t="n">
        <v>0.02</v>
      </c>
      <c r="C21" s="9" t="s">
        <v>91</v>
      </c>
      <c r="D21" s="4" t="s">
        <v>112</v>
      </c>
    </row>
    <row r="22" customFormat="false" ht="15" hidden="false" customHeight="true" outlineLevel="0" collapsed="false">
      <c r="A22" s="4" t="s">
        <v>113</v>
      </c>
      <c r="B22" s="16" t="n">
        <f aca="false">(1+B18)*(1+B19)-1</f>
        <v>0.0454999999999999</v>
      </c>
      <c r="C22" s="9" t="s">
        <v>91</v>
      </c>
      <c r="D22" s="4" t="s">
        <v>114</v>
      </c>
    </row>
    <row r="24" customFormat="false" ht="19.5" hidden="false" customHeight="true" outlineLevel="0" collapsed="false">
      <c r="A24" s="5" t="s">
        <v>115</v>
      </c>
      <c r="B24" s="7"/>
      <c r="C24" s="7"/>
      <c r="D24" s="7"/>
    </row>
    <row r="25" customFormat="false" ht="15" hidden="false" customHeight="true" outlineLevel="0" collapsed="false">
      <c r="A25" s="4" t="s">
        <v>116</v>
      </c>
      <c r="B25" s="17" t="n">
        <v>1.15</v>
      </c>
      <c r="C25" s="9"/>
      <c r="D25" s="4" t="s">
        <v>117</v>
      </c>
    </row>
    <row r="26" customFormat="false" ht="15" hidden="false" customHeight="true" outlineLevel="0" collapsed="false">
      <c r="A26" s="4" t="s">
        <v>118</v>
      </c>
      <c r="B26" s="15" t="n">
        <v>0.004</v>
      </c>
      <c r="C26" s="9"/>
      <c r="D26" s="4" t="s">
        <v>119</v>
      </c>
    </row>
    <row r="27" customFormat="false" ht="15" hidden="false" customHeight="true" outlineLevel="0" collapsed="false">
      <c r="A27" s="4" t="s">
        <v>120</v>
      </c>
      <c r="B27" s="16" t="n">
        <f aca="false">B25*B20+B26</f>
        <v>0.03275</v>
      </c>
      <c r="C27" s="9" t="s">
        <v>91</v>
      </c>
      <c r="D27" s="4" t="s">
        <v>121</v>
      </c>
    </row>
    <row r="28" customFormat="false" ht="15" hidden="false" customHeight="true" outlineLevel="0" collapsed="false">
      <c r="A28" s="4" t="s">
        <v>122</v>
      </c>
      <c r="B28" s="18" t="n">
        <v>0.7</v>
      </c>
      <c r="C28" s="9"/>
      <c r="D28" s="4" t="s">
        <v>123</v>
      </c>
    </row>
    <row r="29" customFormat="false" ht="15" hidden="false" customHeight="true" outlineLevel="0" collapsed="false">
      <c r="A29" s="4" t="s">
        <v>124</v>
      </c>
      <c r="B29" s="18" t="n">
        <v>0.3</v>
      </c>
      <c r="C29" s="9"/>
      <c r="D29" s="4" t="s">
        <v>125</v>
      </c>
    </row>
    <row r="30" customFormat="false" ht="26.25" hidden="false" customHeight="true" outlineLevel="0" collapsed="false">
      <c r="A30" s="4" t="s">
        <v>126</v>
      </c>
      <c r="B30" s="15" t="n">
        <v>0.005</v>
      </c>
      <c r="C30" s="9" t="s">
        <v>91</v>
      </c>
      <c r="D30" s="4" t="s">
        <v>127</v>
      </c>
    </row>
    <row r="31" customFormat="false" ht="26.25" hidden="false" customHeight="true" outlineLevel="0" collapsed="false">
      <c r="A31" s="4" t="s">
        <v>128</v>
      </c>
      <c r="B31" s="16" t="n">
        <f aca="false">B28*B19+B29*B21+B30</f>
        <v>0.0285</v>
      </c>
      <c r="C31" s="9" t="s">
        <v>91</v>
      </c>
      <c r="D31" s="4" t="s">
        <v>129</v>
      </c>
    </row>
    <row r="32" customFormat="false" ht="15" hidden="false" customHeight="true" outlineLevel="0" collapsed="false">
      <c r="A32" s="4" t="s">
        <v>130</v>
      </c>
      <c r="B32" s="16" t="n">
        <f aca="false">(1+B27)*(1+B31)-1</f>
        <v>0.062183375</v>
      </c>
      <c r="C32" s="9" t="s">
        <v>91</v>
      </c>
      <c r="D32" s="4" t="s">
        <v>131</v>
      </c>
    </row>
    <row r="34" customFormat="false" ht="19.5" hidden="false" customHeight="true" outlineLevel="0" collapsed="false">
      <c r="A34" s="5" t="s">
        <v>132</v>
      </c>
      <c r="B34" s="7"/>
      <c r="C34" s="7"/>
      <c r="D34" s="7"/>
    </row>
    <row r="35" customFormat="false" ht="26.25" hidden="false" customHeight="true" outlineLevel="0" collapsed="false">
      <c r="A35" s="4" t="s">
        <v>133</v>
      </c>
      <c r="B35" s="13" t="n">
        <v>0.9</v>
      </c>
      <c r="C35" s="9" t="s">
        <v>91</v>
      </c>
      <c r="D35" s="4" t="s">
        <v>134</v>
      </c>
    </row>
    <row r="36" customFormat="false" ht="15" hidden="false" customHeight="true" outlineLevel="0" collapsed="false">
      <c r="A36" s="4" t="s">
        <v>135</v>
      </c>
      <c r="B36" s="13" t="n">
        <v>0.1</v>
      </c>
      <c r="C36" s="9" t="s">
        <v>91</v>
      </c>
      <c r="D36" s="4" t="s">
        <v>136</v>
      </c>
    </row>
    <row r="37" customFormat="false" ht="26.25" hidden="false" customHeight="true" outlineLevel="0" collapsed="false">
      <c r="A37" s="4" t="s">
        <v>137</v>
      </c>
      <c r="B37" s="17" t="n">
        <v>1.3</v>
      </c>
      <c r="C37" s="9"/>
      <c r="D37" s="4" t="s">
        <v>138</v>
      </c>
    </row>
    <row r="38" customFormat="false" ht="15" hidden="false" customHeight="true" outlineLevel="0" collapsed="false">
      <c r="A38" s="4" t="s">
        <v>139</v>
      </c>
      <c r="B38" s="19" t="n">
        <f aca="false">B35+B36*B37</f>
        <v>1.03</v>
      </c>
      <c r="C38" s="9"/>
      <c r="D38" s="4" t="s">
        <v>140</v>
      </c>
    </row>
    <row r="39" customFormat="false" ht="15" hidden="false" customHeight="true" outlineLevel="0" collapsed="false">
      <c r="A39" s="4" t="s">
        <v>141</v>
      </c>
      <c r="B39" s="15" t="n">
        <v>-0.005</v>
      </c>
      <c r="C39" s="9" t="s">
        <v>91</v>
      </c>
      <c r="D39" s="4" t="s">
        <v>142</v>
      </c>
    </row>
    <row r="40" customFormat="false" ht="15" hidden="false" customHeight="true" outlineLevel="0" collapsed="false">
      <c r="A40" s="4" t="s">
        <v>143</v>
      </c>
      <c r="B40" s="16" t="n">
        <f aca="false">B32*B38+B39</f>
        <v>0.05904887625</v>
      </c>
      <c r="C40" s="9" t="s">
        <v>91</v>
      </c>
      <c r="D40" s="4" t="s">
        <v>144</v>
      </c>
    </row>
    <row r="42" customFormat="false" ht="19.5" hidden="false" customHeight="true" outlineLevel="0" collapsed="false">
      <c r="A42" s="5" t="s">
        <v>145</v>
      </c>
      <c r="B42" s="7"/>
      <c r="C42" s="7"/>
      <c r="D42" s="7"/>
    </row>
    <row r="43" customFormat="false" ht="26.25" hidden="false" customHeight="true" outlineLevel="0" collapsed="false">
      <c r="A43" s="4" t="s">
        <v>146</v>
      </c>
      <c r="B43" s="15" t="n">
        <v>0.01</v>
      </c>
      <c r="C43" s="9" t="s">
        <v>147</v>
      </c>
      <c r="D43" s="4" t="s">
        <v>148</v>
      </c>
    </row>
    <row r="44" customFormat="false" ht="26.25" hidden="false" customHeight="true" outlineLevel="0" collapsed="false">
      <c r="A44" s="4" t="s">
        <v>149</v>
      </c>
      <c r="B44" s="15" t="n">
        <v>0.02</v>
      </c>
      <c r="C44" s="9" t="s">
        <v>147</v>
      </c>
      <c r="D44" s="4" t="s">
        <v>150</v>
      </c>
    </row>
    <row r="45" customFormat="false" ht="15" hidden="false" customHeight="true" outlineLevel="0" collapsed="false">
      <c r="A45" s="4" t="s">
        <v>151</v>
      </c>
      <c r="B45" s="15" t="n">
        <v>0.022</v>
      </c>
      <c r="C45" s="9" t="s">
        <v>147</v>
      </c>
      <c r="D45" s="4" t="s">
        <v>152</v>
      </c>
    </row>
    <row r="46" customFormat="false" ht="15" hidden="false" customHeight="true" outlineLevel="0" collapsed="false">
      <c r="A46" s="4" t="s">
        <v>153</v>
      </c>
      <c r="B46" s="15" t="n">
        <v>0.022</v>
      </c>
      <c r="C46" s="9" t="s">
        <v>147</v>
      </c>
      <c r="D46" s="4" t="s">
        <v>154</v>
      </c>
    </row>
    <row r="47" customFormat="false" ht="15" hidden="false" customHeight="true" outlineLevel="0" collapsed="false">
      <c r="A47" s="4" t="s">
        <v>155</v>
      </c>
      <c r="B47" s="15" t="n">
        <v>0.022</v>
      </c>
      <c r="C47" s="9" t="s">
        <v>147</v>
      </c>
      <c r="D47" s="4" t="s">
        <v>156</v>
      </c>
    </row>
    <row r="49" customFormat="false" ht="19.5" hidden="false" customHeight="true" outlineLevel="0" collapsed="false">
      <c r="A49" s="5" t="s">
        <v>157</v>
      </c>
      <c r="B49" s="7"/>
      <c r="C49" s="7"/>
      <c r="D49" s="7"/>
    </row>
    <row r="50" customFormat="false" ht="15" hidden="false" customHeight="true" outlineLevel="0" collapsed="false">
      <c r="A50" s="4" t="s">
        <v>158</v>
      </c>
      <c r="B50" s="20" t="n">
        <v>0.043</v>
      </c>
      <c r="C50" s="9" t="s">
        <v>91</v>
      </c>
      <c r="D50" s="4" t="s">
        <v>159</v>
      </c>
    </row>
    <row r="51" customFormat="false" ht="15" hidden="false" customHeight="true" outlineLevel="0" collapsed="false">
      <c r="A51" s="4" t="s">
        <v>160</v>
      </c>
      <c r="B51" s="20" t="n">
        <v>0.05</v>
      </c>
      <c r="C51" s="9" t="s">
        <v>91</v>
      </c>
      <c r="D51" s="4" t="s">
        <v>161</v>
      </c>
    </row>
    <row r="52" customFormat="false" ht="26.25" hidden="false" customHeight="true" outlineLevel="0" collapsed="false">
      <c r="A52" s="4" t="s">
        <v>162</v>
      </c>
      <c r="B52" s="21" t="n">
        <v>1.15</v>
      </c>
      <c r="C52" s="9"/>
      <c r="D52" s="4" t="s">
        <v>163</v>
      </c>
    </row>
    <row r="53" customFormat="false" ht="15" hidden="false" customHeight="true" outlineLevel="0" collapsed="false">
      <c r="A53" s="4" t="s">
        <v>164</v>
      </c>
      <c r="B53" s="15" t="n">
        <v>0.06</v>
      </c>
      <c r="C53" s="9" t="s">
        <v>91</v>
      </c>
      <c r="D53" s="4" t="s">
        <v>165</v>
      </c>
    </row>
    <row r="54" customFormat="false" ht="26.25" hidden="false" customHeight="true" outlineLevel="0" collapsed="false">
      <c r="A54" s="4" t="s">
        <v>166</v>
      </c>
      <c r="B54" s="14" t="n">
        <v>6390</v>
      </c>
      <c r="C54" s="9" t="s">
        <v>88</v>
      </c>
      <c r="D54" s="4" t="s">
        <v>167</v>
      </c>
    </row>
    <row r="55" customFormat="false" ht="15" hidden="false" customHeight="true" outlineLevel="0" collapsed="false">
      <c r="A55" s="4" t="s">
        <v>168</v>
      </c>
      <c r="B55" s="14" t="n">
        <v>1260.8</v>
      </c>
      <c r="C55" s="9" t="s">
        <v>88</v>
      </c>
      <c r="D55" s="4" t="s">
        <v>169</v>
      </c>
    </row>
    <row r="57" customFormat="false" ht="19.5" hidden="false" customHeight="true" outlineLevel="0" collapsed="false">
      <c r="A57" s="5" t="s">
        <v>170</v>
      </c>
      <c r="B57" s="7"/>
      <c r="C57" s="7"/>
      <c r="D57" s="7"/>
    </row>
    <row r="58" customFormat="false" ht="15" hidden="false" customHeight="true" outlineLevel="0" collapsed="false">
      <c r="A58" s="4" t="s">
        <v>171</v>
      </c>
      <c r="B58" s="12" t="n">
        <v>0.025</v>
      </c>
      <c r="C58" s="9" t="s">
        <v>91</v>
      </c>
      <c r="D58" s="4" t="s">
        <v>172</v>
      </c>
    </row>
    <row r="59" customFormat="false" ht="15" hidden="false" customHeight="true" outlineLevel="0" collapsed="false">
      <c r="A59" s="4" t="s">
        <v>173</v>
      </c>
      <c r="B59" s="22" t="n">
        <v>5</v>
      </c>
      <c r="C59" s="9" t="s">
        <v>84</v>
      </c>
      <c r="D59" s="4" t="s">
        <v>174</v>
      </c>
    </row>
    <row r="61" customFormat="false" ht="19.5" hidden="false" customHeight="true" outlineLevel="0" collapsed="false">
      <c r="A61" s="5" t="s">
        <v>175</v>
      </c>
      <c r="B61" s="7"/>
      <c r="C61" s="7"/>
      <c r="D61" s="7"/>
    </row>
    <row r="62" customFormat="false" ht="39" hidden="false" customHeight="true" outlineLevel="0" collapsed="false">
      <c r="A62" s="4" t="s">
        <v>176</v>
      </c>
      <c r="B62" s="11" t="n">
        <v>1770</v>
      </c>
      <c r="C62" s="9" t="s">
        <v>177</v>
      </c>
      <c r="D62" s="4" t="s">
        <v>178</v>
      </c>
    </row>
    <row r="64" customFormat="false" ht="19.5" hidden="false" customHeight="true" outlineLevel="0" collapsed="false">
      <c r="A64" s="5" t="s">
        <v>179</v>
      </c>
      <c r="B64" s="7"/>
      <c r="C64" s="7"/>
      <c r="D64" s="7"/>
    </row>
    <row r="65" customFormat="false" ht="15" hidden="false" customHeight="true" outlineLevel="0" collapsed="false">
      <c r="A65" s="4" t="s">
        <v>180</v>
      </c>
      <c r="B65" s="22" t="n">
        <v>55</v>
      </c>
      <c r="C65" s="9" t="s">
        <v>181</v>
      </c>
      <c r="D65" s="4" t="s">
        <v>182</v>
      </c>
    </row>
    <row r="66" customFormat="false" ht="15" hidden="false" customHeight="true" outlineLevel="0" collapsed="false">
      <c r="A66" s="4" t="s">
        <v>183</v>
      </c>
      <c r="B66" s="19" t="n">
        <f aca="false">B65/365</f>
        <v>0.150684931506849</v>
      </c>
      <c r="C66" s="9" t="s">
        <v>84</v>
      </c>
      <c r="D66" s="4" t="s">
        <v>184</v>
      </c>
    </row>
    <row r="67" customFormat="false" ht="15" hidden="false" customHeight="true" outlineLevel="0" collapsed="false">
      <c r="A67" s="4" t="s">
        <v>185</v>
      </c>
      <c r="B67" s="14" t="n">
        <v>290</v>
      </c>
      <c r="C67" s="9" t="s">
        <v>102</v>
      </c>
      <c r="D67" s="4" t="s">
        <v>186</v>
      </c>
    </row>
    <row r="68" customFormat="false" ht="15" hidden="false" customHeight="true" outlineLevel="0" collapsed="false">
      <c r="A68" s="4" t="s">
        <v>187</v>
      </c>
      <c r="B68" s="14" t="n">
        <v>256</v>
      </c>
      <c r="C68" s="9" t="s">
        <v>102</v>
      </c>
      <c r="D68" s="4" t="s">
        <v>188</v>
      </c>
    </row>
    <row r="69" customFormat="false" ht="15" hidden="false" customHeight="true" outlineLevel="0" collapsed="false">
      <c r="A69" s="4" t="s">
        <v>189</v>
      </c>
      <c r="B69" s="14" t="n">
        <v>25</v>
      </c>
      <c r="C69" s="9" t="s">
        <v>88</v>
      </c>
      <c r="D69" s="4" t="s">
        <v>190</v>
      </c>
    </row>
    <row r="71" customFormat="false" ht="19.5" hidden="false" customHeight="true" outlineLevel="0" collapsed="false">
      <c r="A71" s="5" t="s">
        <v>191</v>
      </c>
      <c r="B71" s="7"/>
      <c r="C71" s="7"/>
      <c r="D71" s="7"/>
    </row>
    <row r="72" customFormat="false" ht="26.25" hidden="false" customHeight="true" outlineLevel="0" collapsed="false">
      <c r="A72" s="4" t="s">
        <v>192</v>
      </c>
      <c r="B72" s="11" t="n">
        <v>81.4</v>
      </c>
      <c r="C72" s="9" t="s">
        <v>88</v>
      </c>
      <c r="D72" s="4" t="s">
        <v>193</v>
      </c>
    </row>
    <row r="73" customFormat="false" ht="26.25" hidden="false" customHeight="true" outlineLevel="0" collapsed="false">
      <c r="A73" s="4" t="s">
        <v>194</v>
      </c>
      <c r="B73" s="14" t="n">
        <v>126</v>
      </c>
      <c r="C73" s="9" t="s">
        <v>88</v>
      </c>
      <c r="D73" s="4" t="s">
        <v>195</v>
      </c>
    </row>
    <row r="74" customFormat="false" ht="26.25" hidden="false" customHeight="true" outlineLevel="0" collapsed="false">
      <c r="A74" s="4" t="s">
        <v>196</v>
      </c>
      <c r="B74" s="14" t="n">
        <v>82</v>
      </c>
      <c r="C74" s="9" t="s">
        <v>88</v>
      </c>
      <c r="D74" s="4" t="s">
        <v>197</v>
      </c>
    </row>
    <row r="75" customFormat="false" ht="15" hidden="false" customHeight="true" outlineLevel="0" collapsed="false">
      <c r="A75" s="4" t="s">
        <v>198</v>
      </c>
      <c r="B75" s="23" t="n">
        <f aca="false">B73-B74</f>
        <v>44</v>
      </c>
      <c r="C75" s="9" t="s">
        <v>88</v>
      </c>
      <c r="D75" s="4" t="s">
        <v>199</v>
      </c>
    </row>
    <row r="76" customFormat="false" ht="26.25" hidden="false" customHeight="true" outlineLevel="0" collapsed="false">
      <c r="A76" s="4" t="s">
        <v>200</v>
      </c>
      <c r="B76" s="11" t="n">
        <v>80</v>
      </c>
      <c r="C76" s="9" t="s">
        <v>88</v>
      </c>
      <c r="D76" s="4" t="s">
        <v>201</v>
      </c>
    </row>
    <row r="77" customFormat="false" ht="39" hidden="false" customHeight="true" outlineLevel="0" collapsed="false">
      <c r="A77" s="4" t="s">
        <v>202</v>
      </c>
      <c r="B77" s="14" t="n">
        <v>12</v>
      </c>
      <c r="C77" s="9" t="s">
        <v>88</v>
      </c>
      <c r="D77" s="4" t="s">
        <v>203</v>
      </c>
    </row>
    <row r="78" customFormat="false" ht="39" hidden="false" customHeight="true" outlineLevel="0" collapsed="false">
      <c r="A78" s="4" t="s">
        <v>204</v>
      </c>
      <c r="B78" s="14" t="n">
        <v>145</v>
      </c>
      <c r="C78" s="9" t="s">
        <v>88</v>
      </c>
      <c r="D78" s="4" t="s">
        <v>205</v>
      </c>
    </row>
    <row r="79" customFormat="false" ht="15" hidden="false" customHeight="true" outlineLevel="0" collapsed="false">
      <c r="A79" s="4" t="s">
        <v>206</v>
      </c>
      <c r="B79" s="13" t="n">
        <v>0.5</v>
      </c>
      <c r="C79" s="9" t="s">
        <v>91</v>
      </c>
      <c r="D79" s="4" t="s">
        <v>207</v>
      </c>
    </row>
    <row r="80" customFormat="false" ht="15" hidden="false" customHeight="true" outlineLevel="0" collapsed="false">
      <c r="A80" s="4" t="s">
        <v>208</v>
      </c>
      <c r="B80" s="23" t="n">
        <f aca="false">B78*B79</f>
        <v>72.5</v>
      </c>
      <c r="C80" s="9" t="s">
        <v>88</v>
      </c>
      <c r="D80" s="4" t="s">
        <v>209</v>
      </c>
    </row>
    <row r="82" customFormat="false" ht="19.5" hidden="false" customHeight="true" outlineLevel="0" collapsed="false">
      <c r="A82" s="5" t="s">
        <v>210</v>
      </c>
      <c r="B82" s="7"/>
      <c r="C82" s="7"/>
      <c r="D82" s="7"/>
    </row>
    <row r="83" customFormat="false" ht="15" hidden="false" customHeight="true" outlineLevel="0" collapsed="false">
      <c r="A83" s="4" t="s">
        <v>211</v>
      </c>
      <c r="B83" s="24" t="n">
        <v>3.61</v>
      </c>
      <c r="C83" s="9" t="s">
        <v>212</v>
      </c>
      <c r="D83" s="4" t="s">
        <v>213</v>
      </c>
    </row>
    <row r="84" customFormat="false" ht="15" hidden="false" customHeight="true" outlineLevel="0" collapsed="false">
      <c r="A84" s="4" t="s">
        <v>214</v>
      </c>
      <c r="B84" s="24" t="n">
        <v>3.61</v>
      </c>
      <c r="C84" s="9" t="s">
        <v>212</v>
      </c>
      <c r="D84" s="4" t="s">
        <v>215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5" min="2" style="1" width="12"/>
    <col collapsed="false" customWidth="true" hidden="false" outlineLevel="0" max="6" min="6" style="1" width="2"/>
    <col collapsed="false" customWidth="true" hidden="false" outlineLevel="0" max="11" min="7" style="1" width="12"/>
    <col collapsed="false" customWidth="true" hidden="false" outlineLevel="0" max="12" min="12" style="1" width="38"/>
  </cols>
  <sheetData>
    <row r="1" customFormat="false" ht="15.75" hidden="false" customHeight="true" outlineLevel="0" collapsed="false">
      <c r="A1" s="25" t="s">
        <v>216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3" customFormat="false" ht="19.5" hidden="false" customHeight="true" outlineLevel="0" collapsed="false">
      <c r="A3" s="26" t="s">
        <v>217</v>
      </c>
      <c r="B3" s="6" t="s">
        <v>218</v>
      </c>
      <c r="C3" s="6" t="s">
        <v>219</v>
      </c>
      <c r="D3" s="6" t="s">
        <v>220</v>
      </c>
      <c r="E3" s="6" t="s">
        <v>221</v>
      </c>
      <c r="F3" s="6"/>
      <c r="G3" s="6" t="s">
        <v>222</v>
      </c>
      <c r="H3" s="6" t="s">
        <v>223</v>
      </c>
      <c r="I3" s="6" t="s">
        <v>224</v>
      </c>
      <c r="J3" s="6" t="s">
        <v>225</v>
      </c>
      <c r="K3" s="6" t="s">
        <v>226</v>
      </c>
      <c r="L3" s="6" t="s">
        <v>227</v>
      </c>
    </row>
    <row r="5" customFormat="false" ht="21.75" hidden="false" customHeight="true" outlineLevel="0" collapsed="false">
      <c r="A5" s="5" t="s">
        <v>228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 customFormat="false" ht="64.5" hidden="false" customHeight="true" outlineLevel="0" collapsed="false">
      <c r="A6" s="27" t="s">
        <v>229</v>
      </c>
      <c r="B6" s="28" t="n">
        <v>3700</v>
      </c>
      <c r="C6" s="28" t="n">
        <v>3220</v>
      </c>
      <c r="D6" s="28" t="n">
        <v>1609.8</v>
      </c>
      <c r="E6" s="29" t="n">
        <f aca="false">Assumptions!$B$9</f>
        <v>3400</v>
      </c>
      <c r="G6" s="30" t="n">
        <f aca="false">E6*(1+Assumptions!$B$40)</f>
        <v>3600.76617925</v>
      </c>
      <c r="H6" s="30" t="n">
        <f aca="false">G6*(1+Assumptions!$B$40)</f>
        <v>3813.38737577372</v>
      </c>
      <c r="I6" s="30" t="n">
        <f aca="false">H6*(1+Assumptions!$B$40)</f>
        <v>4038.56361501909</v>
      </c>
      <c r="J6" s="30" t="n">
        <f aca="false">I6*(1+Assumptions!$B$40)</f>
        <v>4277.03625815011</v>
      </c>
      <c r="K6" s="30" t="n">
        <f aca="false">J6*(1+Assumptions!$B$40)</f>
        <v>4529.59044287438</v>
      </c>
      <c r="L6" s="4" t="s">
        <v>230</v>
      </c>
    </row>
    <row r="7" customFormat="false" ht="39" hidden="false" customHeight="true" outlineLevel="0" collapsed="false">
      <c r="A7" s="27" t="s">
        <v>231</v>
      </c>
      <c r="C7" s="31" t="n">
        <f aca="false">C6/B6-1</f>
        <v>-0.12972972972973</v>
      </c>
      <c r="E7" s="31" t="n">
        <f aca="false">E6/C6-1</f>
        <v>0.0559006211180124</v>
      </c>
      <c r="G7" s="31" t="n">
        <f aca="false">G6/E6-1</f>
        <v>0.0590488762500001</v>
      </c>
      <c r="H7" s="31" t="n">
        <f aca="false">H6/G6-1</f>
        <v>0.0590488762500001</v>
      </c>
      <c r="I7" s="31" t="n">
        <f aca="false">I6/H6-1</f>
        <v>0.0590488762500001</v>
      </c>
      <c r="J7" s="31" t="n">
        <f aca="false">J6/I6-1</f>
        <v>0.0590488762500001</v>
      </c>
      <c r="K7" s="31" t="n">
        <f aca="false">K6/J6-1</f>
        <v>0.0590488762500001</v>
      </c>
      <c r="L7" s="4" t="s">
        <v>232</v>
      </c>
    </row>
    <row r="9" customFormat="false" ht="21.75" hidden="false" customHeight="true" outlineLevel="0" collapsed="false">
      <c r="A9" s="5" t="s">
        <v>233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</row>
    <row r="10" customFormat="false" ht="26.25" hidden="false" customHeight="true" outlineLevel="0" collapsed="false">
      <c r="A10" s="27" t="s">
        <v>234</v>
      </c>
      <c r="D10" s="32" t="n">
        <v>0.139</v>
      </c>
      <c r="E10" s="33" t="n">
        <f aca="false">Assumptions!$B$10</f>
        <v>0.129</v>
      </c>
      <c r="G10" s="31" t="n">
        <f aca="false">Assumptions!$B$10+Assumptions!$B$43</f>
        <v>0.139</v>
      </c>
      <c r="H10" s="31" t="n">
        <f aca="false">Assumptions!$B$10+Assumptions!$B$44</f>
        <v>0.149</v>
      </c>
      <c r="I10" s="31" t="n">
        <f aca="false">Assumptions!$B$10+Assumptions!$B$45</f>
        <v>0.151</v>
      </c>
      <c r="J10" s="31" t="n">
        <f aca="false">Assumptions!$B$10+Assumptions!$B$46</f>
        <v>0.151</v>
      </c>
      <c r="K10" s="31" t="n">
        <f aca="false">Assumptions!$B$10+Assumptions!$B$47</f>
        <v>0.151</v>
      </c>
      <c r="L10" s="4" t="s">
        <v>235</v>
      </c>
    </row>
    <row r="11" customFormat="false" ht="39" hidden="false" customHeight="true" outlineLevel="0" collapsed="false">
      <c r="A11" s="3" t="s">
        <v>236</v>
      </c>
      <c r="D11" s="34" t="n">
        <f aca="false">D6*D10</f>
        <v>223.7622</v>
      </c>
      <c r="E11" s="34" t="n">
        <f aca="false">E6*E10</f>
        <v>438.6</v>
      </c>
      <c r="G11" s="34" t="n">
        <f aca="false">G6*G10</f>
        <v>500.50649891575</v>
      </c>
      <c r="H11" s="34" t="n">
        <f aca="false">H6*H10</f>
        <v>568.194718990284</v>
      </c>
      <c r="I11" s="34" t="n">
        <f aca="false">I6*I10</f>
        <v>609.823105867883</v>
      </c>
      <c r="J11" s="34" t="n">
        <f aca="false">J6*J10</f>
        <v>645.832474980667</v>
      </c>
      <c r="K11" s="34" t="n">
        <f aca="false">K6*K10</f>
        <v>683.968156874031</v>
      </c>
      <c r="L11" s="4" t="s">
        <v>237</v>
      </c>
    </row>
    <row r="13" customFormat="false" ht="21.75" hidden="false" customHeight="true" outlineLevel="0" collapsed="false">
      <c r="A13" s="5" t="s">
        <v>238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</row>
    <row r="14" customFormat="false" ht="39" hidden="false" customHeight="true" outlineLevel="0" collapsed="false">
      <c r="A14" s="27" t="s">
        <v>239</v>
      </c>
      <c r="G14" s="30" t="n">
        <f aca="false">-G11*Assumptions!$B$14</f>
        <v>-112.613962256044</v>
      </c>
      <c r="H14" s="30" t="n">
        <f aca="false">-H11*Assumptions!$B$14</f>
        <v>-127.843811772814</v>
      </c>
      <c r="I14" s="30" t="n">
        <f aca="false">-I11*Assumptions!$B$14</f>
        <v>-137.210198820274</v>
      </c>
      <c r="J14" s="30" t="n">
        <f aca="false">-J11*Assumptions!$B$14</f>
        <v>-145.31230687065</v>
      </c>
      <c r="K14" s="30" t="n">
        <f aca="false">-K11*Assumptions!$B$14</f>
        <v>-153.892835296657</v>
      </c>
      <c r="L14" s="4" t="s">
        <v>240</v>
      </c>
    </row>
    <row r="15" customFormat="false" ht="15" hidden="false" customHeight="true" outlineLevel="0" collapsed="false">
      <c r="A15" s="3" t="s">
        <v>241</v>
      </c>
      <c r="G15" s="34" t="n">
        <f aca="false">G11+G14</f>
        <v>387.892536659706</v>
      </c>
      <c r="H15" s="34" t="n">
        <f aca="false">H11+H14</f>
        <v>440.35090721747</v>
      </c>
      <c r="I15" s="34" t="n">
        <f aca="false">I11+I14</f>
        <v>472.61290704761</v>
      </c>
      <c r="J15" s="34" t="n">
        <f aca="false">J11+J14</f>
        <v>500.520168110017</v>
      </c>
      <c r="K15" s="34" t="n">
        <f aca="false">K11+K14</f>
        <v>530.075321577374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6"/>
    <col collapsed="false" customWidth="true" hidden="false" outlineLevel="0" max="3" min="3" style="1" width="60"/>
  </cols>
  <sheetData>
    <row r="1" customFormat="false" ht="15.75" hidden="false" customHeight="true" outlineLevel="0" collapsed="false">
      <c r="A1" s="25" t="s">
        <v>242</v>
      </c>
      <c r="B1" s="25"/>
      <c r="C1" s="25"/>
    </row>
    <row r="3" customFormat="false" ht="19.5" hidden="false" customHeight="true" outlineLevel="0" collapsed="false">
      <c r="A3" s="26" t="s">
        <v>243</v>
      </c>
      <c r="B3" s="6" t="s">
        <v>88</v>
      </c>
      <c r="C3" s="6" t="s">
        <v>227</v>
      </c>
    </row>
    <row r="4" customFormat="false" ht="21.75" hidden="false" customHeight="true" outlineLevel="0" collapsed="false">
      <c r="A4" s="5" t="s">
        <v>244</v>
      </c>
      <c r="B4" s="7"/>
      <c r="C4" s="7"/>
    </row>
    <row r="5" customFormat="false" ht="26.25" hidden="false" customHeight="true" outlineLevel="0" collapsed="false">
      <c r="A5" s="4" t="s">
        <v>245</v>
      </c>
      <c r="B5" s="14" t="n">
        <v>5863.3</v>
      </c>
      <c r="C5" s="4" t="s">
        <v>246</v>
      </c>
    </row>
    <row r="7" customFormat="false" ht="21.75" hidden="false" customHeight="true" outlineLevel="0" collapsed="false">
      <c r="A7" s="5" t="s">
        <v>247</v>
      </c>
      <c r="B7" s="7"/>
      <c r="C7" s="7"/>
    </row>
    <row r="8" customFormat="false" ht="39" hidden="false" customHeight="true" outlineLevel="0" collapsed="false">
      <c r="A8" s="4" t="s">
        <v>248</v>
      </c>
      <c r="B8" s="14" t="n">
        <v>249.3</v>
      </c>
      <c r="C8" s="4" t="s">
        <v>249</v>
      </c>
    </row>
    <row r="9" customFormat="false" ht="15" hidden="false" customHeight="true" outlineLevel="0" collapsed="false">
      <c r="A9" s="4" t="s">
        <v>250</v>
      </c>
      <c r="B9" s="14" t="n">
        <v>194.3</v>
      </c>
      <c r="C9" s="4" t="s">
        <v>251</v>
      </c>
    </row>
    <row r="10" customFormat="false" ht="51.75" hidden="false" customHeight="true" outlineLevel="0" collapsed="false">
      <c r="A10" s="4" t="s">
        <v>252</v>
      </c>
      <c r="B10" s="14" t="n">
        <v>1260.8</v>
      </c>
      <c r="C10" s="4" t="s">
        <v>253</v>
      </c>
    </row>
    <row r="11" customFormat="false" ht="15" hidden="false" customHeight="true" outlineLevel="0" collapsed="false">
      <c r="A11" s="4" t="s">
        <v>254</v>
      </c>
      <c r="B11" s="14" t="n">
        <v>111.5</v>
      </c>
      <c r="C11" s="4" t="s">
        <v>255</v>
      </c>
    </row>
    <row r="12" customFormat="false" ht="15" hidden="false" customHeight="true" outlineLevel="0" collapsed="false">
      <c r="A12" s="4" t="s">
        <v>256</v>
      </c>
      <c r="B12" s="14" t="n">
        <v>1815.9</v>
      </c>
    </row>
    <row r="13" customFormat="false" ht="26.25" hidden="false" customHeight="true" outlineLevel="0" collapsed="false">
      <c r="A13" s="4" t="s">
        <v>257</v>
      </c>
      <c r="B13" s="14" t="n">
        <v>4047.4</v>
      </c>
      <c r="C13" s="4" t="s">
        <v>258</v>
      </c>
    </row>
    <row r="15" customFormat="false" ht="21.75" hidden="false" customHeight="true" outlineLevel="0" collapsed="false">
      <c r="A15" s="5" t="s">
        <v>259</v>
      </c>
      <c r="B15" s="7"/>
      <c r="C15" s="7"/>
    </row>
    <row r="16" customFormat="false" ht="15" hidden="false" customHeight="true" outlineLevel="0" collapsed="false">
      <c r="A16" s="4" t="s">
        <v>260</v>
      </c>
      <c r="B16" s="35" t="n">
        <v>1.3</v>
      </c>
      <c r="C16" s="4" t="s">
        <v>261</v>
      </c>
    </row>
    <row r="17" customFormat="false" ht="15" hidden="false" customHeight="true" outlineLevel="0" collapsed="false">
      <c r="A17" s="4" t="s">
        <v>262</v>
      </c>
      <c r="B17" s="35" t="n">
        <v>12.5</v>
      </c>
      <c r="C17" s="4" t="s">
        <v>263</v>
      </c>
    </row>
    <row r="18" customFormat="false" ht="15" hidden="false" customHeight="true" outlineLevel="0" collapsed="false">
      <c r="A18" s="4" t="s">
        <v>264</v>
      </c>
      <c r="B18" s="14" t="s">
        <v>265</v>
      </c>
      <c r="C18" s="4" t="s">
        <v>266</v>
      </c>
    </row>
    <row r="19" customFormat="false" ht="15" hidden="false" customHeight="true" outlineLevel="0" collapsed="false">
      <c r="A19" s="4" t="s">
        <v>267</v>
      </c>
      <c r="B19" s="14" t="s">
        <v>268</v>
      </c>
      <c r="C19" s="4" t="s">
        <v>266</v>
      </c>
    </row>
    <row r="21" customFormat="false" ht="21.75" hidden="false" customHeight="true" outlineLevel="0" collapsed="false">
      <c r="A21" s="5" t="s">
        <v>269</v>
      </c>
      <c r="B21" s="7"/>
      <c r="C21" s="7"/>
    </row>
    <row r="22" customFormat="false" ht="15" hidden="false" customHeight="true" outlineLevel="0" collapsed="false">
      <c r="A22" s="36" t="s">
        <v>270</v>
      </c>
      <c r="B22" s="37" t="n">
        <f aca="false">B10</f>
        <v>1260.8</v>
      </c>
      <c r="C22" s="4" t="s">
        <v>271</v>
      </c>
    </row>
    <row r="23" customFormat="false" ht="15" hidden="false" customHeight="true" outlineLevel="0" collapsed="false">
      <c r="A23" s="36" t="s">
        <v>272</v>
      </c>
      <c r="B23" s="37" t="n">
        <f aca="false">'Equity Bridge'!B10</f>
        <v>19.8767123287671</v>
      </c>
      <c r="C23" s="4" t="s">
        <v>273</v>
      </c>
    </row>
    <row r="24" customFormat="false" ht="26.25" hidden="false" customHeight="true" outlineLevel="0" collapsed="false">
      <c r="A24" s="36" t="s">
        <v>274</v>
      </c>
      <c r="B24" s="37" t="n">
        <f aca="false">B22+B23</f>
        <v>1280.67671232877</v>
      </c>
      <c r="C24" s="4" t="s">
        <v>275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60"/>
  </cols>
  <sheetData>
    <row r="1" customFormat="false" ht="15.75" hidden="false" customHeight="true" outlineLevel="0" collapsed="false">
      <c r="A1" s="25" t="s">
        <v>276</v>
      </c>
      <c r="B1" s="25"/>
      <c r="C1" s="25"/>
      <c r="D1" s="25"/>
    </row>
    <row r="3" customFormat="false" ht="19.5" hidden="false" customHeight="true" outlineLevel="0" collapsed="false">
      <c r="A3" s="7"/>
      <c r="B3" s="6" t="s">
        <v>70</v>
      </c>
      <c r="C3" s="6" t="s">
        <v>71</v>
      </c>
      <c r="D3" s="6" t="s">
        <v>277</v>
      </c>
    </row>
    <row r="4" customFormat="false" ht="21.75" hidden="false" customHeight="true" outlineLevel="0" collapsed="false">
      <c r="A4" s="5" t="s">
        <v>278</v>
      </c>
      <c r="B4" s="7"/>
      <c r="C4" s="7"/>
      <c r="D4" s="7"/>
    </row>
    <row r="5" customFormat="false" ht="15" hidden="false" customHeight="true" outlineLevel="0" collapsed="false">
      <c r="A5" s="4" t="s">
        <v>158</v>
      </c>
      <c r="B5" s="38" t="n">
        <f aca="false">Assumptions!$B$50</f>
        <v>0.043</v>
      </c>
      <c r="C5" s="9" t="s">
        <v>91</v>
      </c>
      <c r="D5" s="4" t="s">
        <v>279</v>
      </c>
    </row>
    <row r="6" customFormat="false" ht="15" hidden="false" customHeight="true" outlineLevel="0" collapsed="false">
      <c r="A6" s="4" t="s">
        <v>160</v>
      </c>
      <c r="B6" s="38" t="n">
        <f aca="false">Assumptions!$B$51</f>
        <v>0.05</v>
      </c>
      <c r="C6" s="9" t="s">
        <v>91</v>
      </c>
      <c r="D6" s="4" t="s">
        <v>280</v>
      </c>
    </row>
    <row r="7" customFormat="false" ht="15" hidden="false" customHeight="true" outlineLevel="0" collapsed="false">
      <c r="A7" s="4" t="s">
        <v>162</v>
      </c>
      <c r="B7" s="39" t="n">
        <f aca="false">Assumptions!$B$52</f>
        <v>1.15</v>
      </c>
      <c r="C7" s="9"/>
      <c r="D7" s="4" t="s">
        <v>281</v>
      </c>
    </row>
    <row r="8" customFormat="false" ht="15" hidden="false" customHeight="true" outlineLevel="0" collapsed="false">
      <c r="A8" s="36" t="s">
        <v>282</v>
      </c>
      <c r="B8" s="40" t="n">
        <f aca="false">B5+B7*B6</f>
        <v>0.1005</v>
      </c>
      <c r="C8" s="41" t="s">
        <v>91</v>
      </c>
      <c r="D8" s="4" t="s">
        <v>283</v>
      </c>
    </row>
    <row r="10" customFormat="false" ht="21.75" hidden="false" customHeight="true" outlineLevel="0" collapsed="false">
      <c r="A10" s="5" t="s">
        <v>284</v>
      </c>
      <c r="B10" s="7"/>
      <c r="C10" s="7"/>
      <c r="D10" s="7"/>
    </row>
    <row r="11" customFormat="false" ht="15" hidden="false" customHeight="true" outlineLevel="0" collapsed="false">
      <c r="A11" s="4" t="s">
        <v>285</v>
      </c>
      <c r="B11" s="42" t="n">
        <f aca="false">Assumptions!$B$53</f>
        <v>0.06</v>
      </c>
      <c r="C11" s="9" t="s">
        <v>91</v>
      </c>
      <c r="D11" s="4" t="s">
        <v>286</v>
      </c>
    </row>
    <row r="12" customFormat="false" ht="15" hidden="false" customHeight="true" outlineLevel="0" collapsed="false">
      <c r="A12" s="4" t="s">
        <v>287</v>
      </c>
      <c r="B12" s="42" t="n">
        <f aca="false">Assumptions!$B$14</f>
        <v>0.225</v>
      </c>
      <c r="C12" s="9" t="s">
        <v>91</v>
      </c>
      <c r="D12" s="4" t="s">
        <v>288</v>
      </c>
    </row>
    <row r="13" customFormat="false" ht="15" hidden="false" customHeight="true" outlineLevel="0" collapsed="false">
      <c r="A13" s="36" t="s">
        <v>289</v>
      </c>
      <c r="B13" s="40" t="n">
        <f aca="false">B11*(1-B12)</f>
        <v>0.0465</v>
      </c>
      <c r="C13" s="41" t="s">
        <v>91</v>
      </c>
      <c r="D13" s="4" t="s">
        <v>290</v>
      </c>
    </row>
    <row r="15" customFormat="false" ht="21.75" hidden="false" customHeight="true" outlineLevel="0" collapsed="false">
      <c r="A15" s="5" t="s">
        <v>291</v>
      </c>
      <c r="B15" s="7"/>
      <c r="C15" s="7"/>
      <c r="D15" s="7"/>
    </row>
    <row r="16" customFormat="false" ht="15" hidden="false" customHeight="true" outlineLevel="0" collapsed="false">
      <c r="A16" s="4" t="s">
        <v>166</v>
      </c>
      <c r="B16" s="43" t="n">
        <f aca="false">Assumptions!$B$54</f>
        <v>6390</v>
      </c>
      <c r="C16" s="9" t="s">
        <v>88</v>
      </c>
      <c r="D16" s="4" t="s">
        <v>292</v>
      </c>
    </row>
    <row r="17" customFormat="false" ht="15" hidden="false" customHeight="true" outlineLevel="0" collapsed="false">
      <c r="A17" s="4" t="s">
        <v>168</v>
      </c>
      <c r="B17" s="43" t="n">
        <f aca="false">Assumptions!$B$55</f>
        <v>1260.8</v>
      </c>
      <c r="C17" s="9" t="s">
        <v>88</v>
      </c>
      <c r="D17" s="4" t="s">
        <v>293</v>
      </c>
    </row>
    <row r="18" customFormat="false" ht="15" hidden="false" customHeight="true" outlineLevel="0" collapsed="false">
      <c r="A18" s="4" t="s">
        <v>294</v>
      </c>
      <c r="B18" s="44" t="n">
        <f aca="false">B16+B17</f>
        <v>7650.8</v>
      </c>
      <c r="C18" s="41" t="s">
        <v>88</v>
      </c>
      <c r="D18" s="4"/>
    </row>
    <row r="19" customFormat="false" ht="15" hidden="false" customHeight="true" outlineLevel="0" collapsed="false">
      <c r="A19" s="4" t="s">
        <v>295</v>
      </c>
      <c r="B19" s="45" t="n">
        <f aca="false">B16/B18</f>
        <v>0.835206775762012</v>
      </c>
      <c r="C19" s="41" t="s">
        <v>91</v>
      </c>
      <c r="D19" s="4"/>
    </row>
    <row r="20" customFormat="false" ht="15" hidden="false" customHeight="true" outlineLevel="0" collapsed="false">
      <c r="A20" s="4" t="s">
        <v>296</v>
      </c>
      <c r="B20" s="45" t="n">
        <f aca="false">B17/B18</f>
        <v>0.164793224237988</v>
      </c>
      <c r="C20" s="41" t="s">
        <v>91</v>
      </c>
      <c r="D20" s="4"/>
    </row>
    <row r="22" customFormat="false" ht="21.75" hidden="false" customHeight="true" outlineLevel="0" collapsed="false">
      <c r="A22" s="5" t="s">
        <v>297</v>
      </c>
      <c r="B22" s="7"/>
      <c r="C22" s="7"/>
      <c r="D22" s="7"/>
    </row>
    <row r="23" customFormat="false" ht="15" hidden="false" customHeight="true" outlineLevel="0" collapsed="false">
      <c r="A23" s="36" t="s">
        <v>298</v>
      </c>
      <c r="B23" s="46" t="n">
        <f aca="false">B19*B8+B20*B13</f>
        <v>0.0916011658911486</v>
      </c>
      <c r="C23" s="41" t="s">
        <v>91</v>
      </c>
      <c r="D23" s="4" t="s">
        <v>299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3" min="2" style="1" width="12"/>
    <col collapsed="false" customWidth="true" hidden="false" outlineLevel="0" max="4" min="4" style="1" width="22"/>
    <col collapsed="false" customWidth="true" hidden="false" outlineLevel="0" max="5" min="5" style="1" width="55"/>
    <col collapsed="false" customWidth="true" hidden="false" outlineLevel="0" max="6" min="6" style="1" width="18"/>
    <col collapsed="false" customWidth="true" hidden="false" outlineLevel="0" max="7" min="7" style="1" width="12"/>
  </cols>
  <sheetData>
    <row r="1" customFormat="false" ht="15.75" hidden="false" customHeight="true" outlineLevel="0" collapsed="false">
      <c r="A1" s="25" t="s">
        <v>300</v>
      </c>
      <c r="B1" s="25"/>
      <c r="C1" s="25"/>
      <c r="D1" s="25"/>
      <c r="E1" s="25"/>
      <c r="F1" s="25"/>
      <c r="G1" s="25"/>
    </row>
    <row r="3" customFormat="false" ht="19.5" hidden="false" customHeight="true" outlineLevel="0" collapsed="false">
      <c r="A3" s="26" t="s">
        <v>301</v>
      </c>
      <c r="B3" s="6" t="s">
        <v>302</v>
      </c>
      <c r="C3" s="6" t="s">
        <v>303</v>
      </c>
      <c r="D3" s="6" t="s">
        <v>304</v>
      </c>
      <c r="E3" s="6" t="s">
        <v>305</v>
      </c>
      <c r="F3" s="6" t="s">
        <v>306</v>
      </c>
      <c r="G3" s="6" t="s">
        <v>307</v>
      </c>
    </row>
    <row r="4" customFormat="false" ht="26.25" hidden="false" customHeight="true" outlineLevel="0" collapsed="false">
      <c r="A4" s="4" t="s">
        <v>308</v>
      </c>
      <c r="B4" s="47" t="n">
        <v>125.9</v>
      </c>
      <c r="C4" s="47" t="n">
        <v>179.6</v>
      </c>
      <c r="D4" s="9" t="s">
        <v>309</v>
      </c>
      <c r="E4" s="4" t="s">
        <v>310</v>
      </c>
      <c r="F4" s="9" t="s">
        <v>311</v>
      </c>
      <c r="G4" s="48" t="s">
        <v>312</v>
      </c>
    </row>
    <row r="5" customFormat="false" ht="26.25" hidden="false" customHeight="true" outlineLevel="0" collapsed="false">
      <c r="A5" s="4" t="s">
        <v>313</v>
      </c>
      <c r="B5" s="47" t="n">
        <v>11.2</v>
      </c>
      <c r="C5" s="47" t="n">
        <v>11.2</v>
      </c>
      <c r="D5" s="9" t="s">
        <v>314</v>
      </c>
      <c r="E5" s="4" t="s">
        <v>315</v>
      </c>
      <c r="F5" s="9" t="s">
        <v>311</v>
      </c>
      <c r="G5" s="48" t="s">
        <v>312</v>
      </c>
    </row>
    <row r="6" customFormat="false" ht="39" hidden="false" customHeight="true" outlineLevel="0" collapsed="false">
      <c r="A6" s="4" t="s">
        <v>316</v>
      </c>
      <c r="B6" s="47" t="n">
        <v>3.9</v>
      </c>
      <c r="C6" s="47" t="n">
        <v>5.6</v>
      </c>
      <c r="D6" s="9" t="s">
        <v>309</v>
      </c>
      <c r="E6" s="4" t="s">
        <v>317</v>
      </c>
      <c r="F6" s="49" t="s">
        <v>318</v>
      </c>
      <c r="G6" s="48" t="s">
        <v>312</v>
      </c>
    </row>
    <row r="7" customFormat="false" ht="15" hidden="false" customHeight="true" outlineLevel="0" collapsed="false">
      <c r="A7" s="36" t="s">
        <v>319</v>
      </c>
      <c r="B7" s="50" t="n">
        <f aca="false">SUM(B4:B6)</f>
        <v>141</v>
      </c>
      <c r="C7" s="50" t="n">
        <f aca="false">SUM(C4:C6)</f>
        <v>196.4</v>
      </c>
      <c r="D7" s="9"/>
      <c r="E7" s="4"/>
      <c r="F7" s="9"/>
      <c r="G7" s="51"/>
    </row>
    <row r="9" customFormat="false" ht="21.75" hidden="false" customHeight="true" outlineLevel="0" collapsed="false">
      <c r="A9" s="5" t="s">
        <v>320</v>
      </c>
      <c r="B9" s="7"/>
      <c r="C9" s="7"/>
      <c r="D9" s="7"/>
      <c r="E9" s="7"/>
      <c r="F9" s="7"/>
      <c r="G9" s="7"/>
    </row>
    <row r="10" customFormat="false" ht="26.25" hidden="false" customHeight="true" outlineLevel="0" collapsed="false">
      <c r="A10" s="27" t="s">
        <v>321</v>
      </c>
      <c r="B10" s="47" t="n">
        <v>8</v>
      </c>
      <c r="E10" s="4" t="s">
        <v>322</v>
      </c>
    </row>
    <row r="11" customFormat="false" ht="39" hidden="false" customHeight="true" outlineLevel="0" collapsed="false">
      <c r="A11" s="3" t="s">
        <v>323</v>
      </c>
      <c r="E11" s="4" t="s">
        <v>324</v>
      </c>
      <c r="G11" s="52" t="s">
        <v>325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8" min="2" style="1" width="12"/>
    <col collapsed="false" customWidth="true" hidden="false" outlineLevel="0" max="9" min="9" style="1" width="38"/>
  </cols>
  <sheetData>
    <row r="1" customFormat="false" ht="15.75" hidden="false" customHeight="true" outlineLevel="0" collapsed="false">
      <c r="A1" s="25" t="s">
        <v>326</v>
      </c>
      <c r="B1" s="25"/>
      <c r="C1" s="25"/>
      <c r="D1" s="25"/>
      <c r="E1" s="25"/>
      <c r="F1" s="25"/>
      <c r="G1" s="25"/>
      <c r="H1" s="25"/>
      <c r="I1" s="25"/>
    </row>
    <row r="3" customFormat="false" ht="19.5" hidden="false" customHeight="true" outlineLevel="0" collapsed="false">
      <c r="A3" s="26" t="s">
        <v>243</v>
      </c>
      <c r="B3" s="6" t="s">
        <v>327</v>
      </c>
      <c r="C3" s="6" t="s">
        <v>328</v>
      </c>
      <c r="D3" s="6" t="s">
        <v>329</v>
      </c>
      <c r="E3" s="6" t="s">
        <v>330</v>
      </c>
      <c r="F3" s="6" t="s">
        <v>331</v>
      </c>
      <c r="G3" s="6" t="s">
        <v>332</v>
      </c>
      <c r="H3" s="6" t="s">
        <v>333</v>
      </c>
      <c r="I3" s="6" t="s">
        <v>227</v>
      </c>
    </row>
    <row r="5" customFormat="false" ht="21.75" hidden="false" customHeight="true" outlineLevel="0" collapsed="false">
      <c r="A5" s="5" t="s">
        <v>334</v>
      </c>
      <c r="B5" s="7"/>
      <c r="C5" s="7"/>
      <c r="D5" s="7"/>
      <c r="E5" s="7"/>
      <c r="F5" s="7"/>
      <c r="G5" s="7"/>
      <c r="H5" s="7"/>
      <c r="I5" s="7"/>
    </row>
    <row r="6" customFormat="false" ht="39" hidden="false" customHeight="true" outlineLevel="0" collapsed="false">
      <c r="A6" s="27" t="s">
        <v>335</v>
      </c>
      <c r="B6" s="29" t="n">
        <f aca="false">Assumptions!$B$6*Assumptions!$B$9</f>
        <v>1193.4</v>
      </c>
      <c r="C6" s="29" t="n">
        <f aca="false">'P&amp;L Summary'!G6</f>
        <v>3600.76617925</v>
      </c>
      <c r="D6" s="29" t="n">
        <f aca="false">'P&amp;L Summary'!H6</f>
        <v>3813.38737577372</v>
      </c>
      <c r="E6" s="29" t="n">
        <f aca="false">'P&amp;L Summary'!I6</f>
        <v>4038.56361501909</v>
      </c>
      <c r="F6" s="29" t="n">
        <f aca="false">'P&amp;L Summary'!J6</f>
        <v>4277.03625815011</v>
      </c>
      <c r="G6" s="29" t="n">
        <f aca="false">'P&amp;L Summary'!K6</f>
        <v>4529.59044287438</v>
      </c>
      <c r="I6" s="4" t="s">
        <v>336</v>
      </c>
    </row>
    <row r="7" customFormat="false" ht="15" hidden="false" customHeight="true" outlineLevel="0" collapsed="false">
      <c r="A7" s="27" t="s">
        <v>337</v>
      </c>
      <c r="B7" s="33" t="n">
        <f aca="false">Assumptions!$B$10</f>
        <v>0.129</v>
      </c>
      <c r="C7" s="33" t="n">
        <f aca="false">'P&amp;L Summary'!G10</f>
        <v>0.139</v>
      </c>
      <c r="D7" s="33" t="n">
        <f aca="false">'P&amp;L Summary'!H10</f>
        <v>0.149</v>
      </c>
      <c r="E7" s="33" t="n">
        <f aca="false">'P&amp;L Summary'!I10</f>
        <v>0.151</v>
      </c>
      <c r="F7" s="33" t="n">
        <f aca="false">'P&amp;L Summary'!J10</f>
        <v>0.151</v>
      </c>
      <c r="G7" s="33" t="n">
        <f aca="false">'P&amp;L Summary'!K10</f>
        <v>0.151</v>
      </c>
    </row>
    <row r="8" customFormat="false" ht="15" hidden="false" customHeight="true" outlineLevel="0" collapsed="false">
      <c r="A8" s="3" t="s">
        <v>236</v>
      </c>
      <c r="B8" s="34" t="n">
        <f aca="false">B6*B7</f>
        <v>153.9486</v>
      </c>
      <c r="C8" s="34" t="n">
        <f aca="false">C6*C7</f>
        <v>500.50649891575</v>
      </c>
      <c r="D8" s="34" t="n">
        <f aca="false">D6*D7</f>
        <v>568.194718990284</v>
      </c>
      <c r="E8" s="34" t="n">
        <f aca="false">E6*E7</f>
        <v>609.823105867883</v>
      </c>
      <c r="F8" s="34" t="n">
        <f aca="false">F6*F7</f>
        <v>645.832474980667</v>
      </c>
      <c r="G8" s="34" t="n">
        <f aca="false">G6*G7</f>
        <v>683.968156874031</v>
      </c>
    </row>
    <row r="9" customFormat="false" ht="15" hidden="false" customHeight="true" outlineLevel="0" collapsed="false">
      <c r="A9" s="27" t="s">
        <v>338</v>
      </c>
      <c r="B9" s="30" t="n">
        <f aca="false">IF('IMI Register'!G11="YES",IF("B"="B",-Assumptions!$B$6*12,IF("B"="C",-12,IF("B"="D",-6,0))),0)</f>
        <v>0</v>
      </c>
      <c r="C9" s="30" t="n">
        <f aca="false">IF('IMI Register'!G11="YES",IF("C"="B",-Assumptions!$B$6*12,IF("C"="C",-12,IF("C"="D",-6,0))),0)</f>
        <v>0</v>
      </c>
      <c r="D9" s="30" t="n">
        <f aca="false">IF('IMI Register'!G11="YES",IF("D"="B",-Assumptions!$B$6*12,IF("D"="C",-12,IF("D"="D",-6,0))),0)</f>
        <v>0</v>
      </c>
      <c r="E9" s="30" t="n">
        <f aca="false">IF('IMI Register'!G11="YES",IF("E"="B",-Assumptions!$B$6*12,IF("E"="C",-12,IF("E"="D",-6,0))),0)</f>
        <v>0</v>
      </c>
      <c r="F9" s="30" t="n">
        <f aca="false">IF('IMI Register'!G11="YES",IF("F"="B",-Assumptions!$B$6*12,IF("F"="C",-12,IF("F"="D",-6,0))),0)</f>
        <v>0</v>
      </c>
      <c r="G9" s="30" t="n">
        <f aca="false">IF('IMI Register'!G11="YES",IF("G"="B",-Assumptions!$B$6*12,IF("G"="C",-12,IF("G"="D",-6,0))),0)</f>
        <v>0</v>
      </c>
    </row>
    <row r="10" customFormat="false" ht="15" hidden="false" customHeight="true" outlineLevel="0" collapsed="false">
      <c r="A10" s="3" t="s">
        <v>339</v>
      </c>
      <c r="B10" s="34" t="n">
        <f aca="false">B8+B9</f>
        <v>153.9486</v>
      </c>
      <c r="C10" s="34" t="n">
        <f aca="false">C8+C9</f>
        <v>500.50649891575</v>
      </c>
      <c r="D10" s="34" t="n">
        <f aca="false">D8+D9</f>
        <v>568.194718990284</v>
      </c>
      <c r="E10" s="34" t="n">
        <f aca="false">E8+E9</f>
        <v>609.823105867883</v>
      </c>
      <c r="F10" s="34" t="n">
        <f aca="false">F8+F9</f>
        <v>645.832474980667</v>
      </c>
      <c r="G10" s="34" t="n">
        <f aca="false">G8+G9</f>
        <v>683.968156874031</v>
      </c>
    </row>
    <row r="12" customFormat="false" ht="21.75" hidden="false" customHeight="true" outlineLevel="0" collapsed="false">
      <c r="A12" s="5" t="s">
        <v>340</v>
      </c>
      <c r="B12" s="7"/>
      <c r="C12" s="7"/>
      <c r="D12" s="7"/>
      <c r="E12" s="7"/>
      <c r="F12" s="7"/>
      <c r="G12" s="7"/>
      <c r="H12" s="7"/>
      <c r="I12" s="7"/>
    </row>
    <row r="13" customFormat="false" ht="15" hidden="false" customHeight="true" outlineLevel="0" collapsed="false">
      <c r="A13" s="27" t="s">
        <v>341</v>
      </c>
      <c r="B13" s="30" t="n">
        <f aca="false">-B10*Assumptions!$B$14</f>
        <v>-34.638435</v>
      </c>
      <c r="C13" s="30" t="n">
        <f aca="false">-C10*Assumptions!$B$14</f>
        <v>-112.613962256044</v>
      </c>
      <c r="D13" s="30" t="n">
        <f aca="false">-D10*Assumptions!$B$14</f>
        <v>-127.843811772814</v>
      </c>
      <c r="E13" s="30" t="n">
        <f aca="false">-E10*Assumptions!$B$14</f>
        <v>-137.210198820274</v>
      </c>
      <c r="F13" s="30" t="n">
        <f aca="false">-F10*Assumptions!$B$14</f>
        <v>-145.31230687065</v>
      </c>
      <c r="G13" s="30" t="n">
        <f aca="false">-G10*Assumptions!$B$14</f>
        <v>-153.892835296657</v>
      </c>
    </row>
    <row r="14" customFormat="false" ht="15" hidden="false" customHeight="true" outlineLevel="0" collapsed="false">
      <c r="A14" s="3" t="s">
        <v>342</v>
      </c>
      <c r="B14" s="34" t="n">
        <f aca="false">B10+B13</f>
        <v>119.310165</v>
      </c>
      <c r="C14" s="34" t="n">
        <f aca="false">C10+C13</f>
        <v>387.892536659706</v>
      </c>
      <c r="D14" s="34" t="n">
        <f aca="false">D10+D13</f>
        <v>440.35090721747</v>
      </c>
      <c r="E14" s="34" t="n">
        <f aca="false">E10+E13</f>
        <v>472.61290704761</v>
      </c>
      <c r="F14" s="34" t="n">
        <f aca="false">F10+F13</f>
        <v>500.520168110017</v>
      </c>
      <c r="G14" s="34" t="n">
        <f aca="false">G10+G13</f>
        <v>530.075321577374</v>
      </c>
    </row>
    <row r="15" customFormat="false" ht="15" hidden="false" customHeight="true" outlineLevel="0" collapsed="false">
      <c r="A15" s="27" t="s">
        <v>343</v>
      </c>
      <c r="B15" s="30" t="n">
        <f aca="false">B6*Assumptions!$B$13</f>
        <v>87.1182</v>
      </c>
      <c r="C15" s="30" t="n">
        <f aca="false">C6*Assumptions!$B$13</f>
        <v>262.85593108525</v>
      </c>
      <c r="D15" s="30" t="n">
        <f aca="false">D6*Assumptions!$B$13</f>
        <v>278.377278431482</v>
      </c>
      <c r="E15" s="30" t="n">
        <f aca="false">E6*Assumptions!$B$13</f>
        <v>294.815143896394</v>
      </c>
      <c r="F15" s="30" t="n">
        <f aca="false">F6*Assumptions!$B$13</f>
        <v>312.223646844958</v>
      </c>
      <c r="G15" s="30" t="n">
        <f aca="false">G6*Assumptions!$B$13</f>
        <v>330.66010232983</v>
      </c>
    </row>
    <row r="16" customFormat="false" ht="15" hidden="false" customHeight="true" outlineLevel="0" collapsed="false">
      <c r="A16" s="27" t="s">
        <v>344</v>
      </c>
      <c r="B16" s="30" t="n">
        <f aca="false">-B6*Assumptions!$B$12</f>
        <v>-95.472</v>
      </c>
      <c r="C16" s="30" t="n">
        <f aca="false">-C6*Assumptions!$B$12</f>
        <v>-288.06129434</v>
      </c>
      <c r="D16" s="30" t="n">
        <f aca="false">-D6*Assumptions!$B$12</f>
        <v>-305.070990061898</v>
      </c>
      <c r="E16" s="30" t="n">
        <f aca="false">-E6*Assumptions!$B$11</f>
        <v>-282.699453051337</v>
      </c>
      <c r="F16" s="30" t="n">
        <f aca="false">-F6*Assumptions!$B$11</f>
        <v>-299.392538070508</v>
      </c>
      <c r="G16" s="30" t="n">
        <f aca="false">-G6*Assumptions!$B$11</f>
        <v>-317.071331001207</v>
      </c>
    </row>
    <row r="17" customFormat="false" ht="15" hidden="false" customHeight="true" outlineLevel="0" collapsed="false">
      <c r="A17" s="27" t="s">
        <v>345</v>
      </c>
      <c r="B17" s="30" t="n">
        <f aca="false">-Assumptions!$B$15</f>
        <v>-0</v>
      </c>
      <c r="C17" s="30" t="n">
        <f aca="false">-Assumptions!$B$15</f>
        <v>-0</v>
      </c>
      <c r="D17" s="30" t="n">
        <f aca="false">-Assumptions!$B$15</f>
        <v>-0</v>
      </c>
      <c r="E17" s="30" t="n">
        <f aca="false">-Assumptions!$B$15</f>
        <v>-0</v>
      </c>
      <c r="F17" s="30" t="n">
        <f aca="false">-Assumptions!$B$15</f>
        <v>-0</v>
      </c>
      <c r="G17" s="30" t="n">
        <f aca="false">-Assumptions!$B$15</f>
        <v>-0</v>
      </c>
    </row>
    <row r="18" customFormat="false" ht="15" hidden="false" customHeight="true" outlineLevel="0" collapsed="false">
      <c r="A18" s="3" t="s">
        <v>346</v>
      </c>
      <c r="B18" s="34" t="n">
        <f aca="false">SUM(B14:B17)</f>
        <v>110.956365</v>
      </c>
      <c r="C18" s="34" t="n">
        <f aca="false">SUM(C14:C17)</f>
        <v>362.687173404956</v>
      </c>
      <c r="D18" s="34" t="n">
        <f aca="false">SUM(D14:D17)</f>
        <v>413.657195587054</v>
      </c>
      <c r="E18" s="34" t="n">
        <f aca="false">SUM(E14:E17)</f>
        <v>484.728597892667</v>
      </c>
      <c r="F18" s="34" t="n">
        <f aca="false">SUM(F14:F17)</f>
        <v>513.351276884467</v>
      </c>
      <c r="G18" s="34" t="n">
        <f aca="false">SUM(G14:G17)</f>
        <v>543.664092905997</v>
      </c>
    </row>
    <row r="20" customFormat="false" ht="21.75" hidden="false" customHeight="true" outlineLevel="0" collapsed="false">
      <c r="A20" s="5" t="s">
        <v>347</v>
      </c>
      <c r="B20" s="7"/>
      <c r="C20" s="7"/>
      <c r="D20" s="7"/>
      <c r="E20" s="7"/>
      <c r="F20" s="7"/>
      <c r="G20" s="7"/>
      <c r="H20" s="7"/>
      <c r="I20" s="7"/>
    </row>
    <row r="21" customFormat="false" ht="15" hidden="false" customHeight="true" outlineLevel="0" collapsed="false">
      <c r="A21" s="27" t="s">
        <v>297</v>
      </c>
      <c r="B21" s="53" t="n">
        <f aca="false">'WACC Build'!$B$23</f>
        <v>0.0916011658911486</v>
      </c>
      <c r="C21" s="53" t="n">
        <f aca="false">'WACC Build'!$B$23</f>
        <v>0.0916011658911486</v>
      </c>
      <c r="D21" s="53" t="n">
        <f aca="false">'WACC Build'!$B$23</f>
        <v>0.0916011658911486</v>
      </c>
      <c r="E21" s="53" t="n">
        <f aca="false">'WACC Build'!$B$23</f>
        <v>0.0916011658911486</v>
      </c>
      <c r="F21" s="53" t="n">
        <f aca="false">'WACC Build'!$B$23</f>
        <v>0.0916011658911486</v>
      </c>
      <c r="G21" s="53" t="n">
        <f aca="false">'WACC Build'!$B$23</f>
        <v>0.0916011658911486</v>
      </c>
    </row>
    <row r="22" customFormat="false" ht="15" hidden="false" customHeight="true" outlineLevel="0" collapsed="false">
      <c r="A22" s="27" t="s">
        <v>348</v>
      </c>
      <c r="B22" s="54" t="n">
        <f aca="false">Assumptions!$B$6/2</f>
        <v>0.1755</v>
      </c>
      <c r="C22" s="54" t="n">
        <f aca="false">Assumptions!$B$6+1-0.5</f>
        <v>0.851</v>
      </c>
      <c r="D22" s="54" t="n">
        <f aca="false">Assumptions!$B$6+2-0.5</f>
        <v>1.851</v>
      </c>
      <c r="E22" s="54" t="n">
        <f aca="false">Assumptions!$B$6+3-0.5</f>
        <v>2.851</v>
      </c>
      <c r="F22" s="54" t="n">
        <f aca="false">Assumptions!$B$6+4-0.5</f>
        <v>3.851</v>
      </c>
      <c r="G22" s="54" t="n">
        <f aca="false">Assumptions!$B$6+5-0.5</f>
        <v>4.851</v>
      </c>
    </row>
    <row r="23" customFormat="false" ht="15" hidden="false" customHeight="true" outlineLevel="0" collapsed="false">
      <c r="A23" s="27" t="s">
        <v>349</v>
      </c>
      <c r="B23" s="55" t="n">
        <f aca="false">1/(1+B21)^B22</f>
        <v>0.984735896716482</v>
      </c>
      <c r="C23" s="55" t="n">
        <f aca="false">1/(1+C21)^C22</f>
        <v>0.928127292648724</v>
      </c>
      <c r="D23" s="55" t="n">
        <f aca="false">1/(1+D21)^D22</f>
        <v>0.850243955072208</v>
      </c>
      <c r="E23" s="55" t="n">
        <f aca="false">1/(1+E21)^E22</f>
        <v>0.778896158816481</v>
      </c>
      <c r="F23" s="55" t="n">
        <f aca="false">1/(1+F21)^F22</f>
        <v>0.713535477200242</v>
      </c>
      <c r="G23" s="55" t="n">
        <f aca="false">1/(1+G21)^G22</f>
        <v>0.653659504492865</v>
      </c>
    </row>
    <row r="24" customFormat="false" ht="15" hidden="false" customHeight="true" outlineLevel="0" collapsed="false">
      <c r="A24" s="3" t="s">
        <v>350</v>
      </c>
      <c r="B24" s="34" t="n">
        <f aca="false">B18*B23</f>
        <v>109.262715584676</v>
      </c>
      <c r="C24" s="34" t="n">
        <f aca="false">C18*C23</f>
        <v>336.61986433076</v>
      </c>
      <c r="D24" s="34" t="n">
        <f aca="false">D18*D23</f>
        <v>351.709530020015</v>
      </c>
      <c r="E24" s="34" t="n">
        <f aca="false">E18*E23</f>
        <v>377.553242967097</v>
      </c>
      <c r="F24" s="34" t="n">
        <f aca="false">F18*F23</f>
        <v>366.294348323112</v>
      </c>
      <c r="G24" s="34" t="n">
        <f aca="false">G18*G23</f>
        <v>355.371201579497</v>
      </c>
    </row>
    <row r="26" customFormat="false" ht="21.75" hidden="false" customHeight="true" outlineLevel="0" collapsed="false">
      <c r="A26" s="5" t="s">
        <v>351</v>
      </c>
      <c r="B26" s="7"/>
      <c r="C26" s="7"/>
      <c r="D26" s="7"/>
      <c r="E26" s="7"/>
      <c r="F26" s="7"/>
      <c r="G26" s="7"/>
      <c r="H26" s="7"/>
      <c r="I26" s="7"/>
    </row>
    <row r="27" customFormat="false" ht="15" hidden="false" customHeight="true" outlineLevel="0" collapsed="false">
      <c r="A27" s="27" t="s">
        <v>352</v>
      </c>
      <c r="H27" s="53" t="n">
        <f aca="false">Assumptions!$B$58</f>
        <v>0.025</v>
      </c>
    </row>
    <row r="28" customFormat="false" ht="15" hidden="false" customHeight="true" outlineLevel="0" collapsed="false">
      <c r="A28" s="27" t="s">
        <v>353</v>
      </c>
      <c r="H28" s="30" t="n">
        <f aca="false">G18*(1+H27)</f>
        <v>557.255695228647</v>
      </c>
    </row>
    <row r="29" customFormat="false" ht="15" hidden="false" customHeight="true" outlineLevel="0" collapsed="false">
      <c r="A29" s="3" t="s">
        <v>354</v>
      </c>
      <c r="H29" s="34" t="n">
        <f aca="false">H28/(G21-H27)</f>
        <v>8367.05615843742</v>
      </c>
    </row>
    <row r="30" customFormat="false" ht="15" hidden="false" customHeight="true" outlineLevel="0" collapsed="false">
      <c r="A30" s="27" t="s">
        <v>355</v>
      </c>
      <c r="H30" s="54" t="n">
        <f aca="false">Assumptions!$B$6+Assumptions!$B$59</f>
        <v>5.351</v>
      </c>
    </row>
    <row r="31" customFormat="false" ht="15" hidden="false" customHeight="true" outlineLevel="0" collapsed="false">
      <c r="A31" s="27" t="s">
        <v>356</v>
      </c>
      <c r="H31" s="55" t="n">
        <f aca="false">1/(1+G21)^H30</f>
        <v>0.6256329089033</v>
      </c>
    </row>
    <row r="32" customFormat="false" ht="15" hidden="false" customHeight="true" outlineLevel="0" collapsed="false">
      <c r="A32" s="3" t="s">
        <v>357</v>
      </c>
      <c r="H32" s="34" t="n">
        <f aca="false">H29*H31</f>
        <v>5234.70568336048</v>
      </c>
    </row>
    <row r="34" customFormat="false" ht="21.75" hidden="false" customHeight="true" outlineLevel="0" collapsed="false">
      <c r="A34" s="5" t="s">
        <v>358</v>
      </c>
      <c r="B34" s="7"/>
      <c r="C34" s="7"/>
      <c r="D34" s="7"/>
      <c r="E34" s="7"/>
      <c r="F34" s="7"/>
      <c r="G34" s="7"/>
      <c r="H34" s="7"/>
      <c r="I34" s="7"/>
    </row>
    <row r="35" customFormat="false" ht="15" hidden="false" customHeight="true" outlineLevel="0" collapsed="false">
      <c r="A35" s="27" t="s">
        <v>359</v>
      </c>
      <c r="H35" s="30" t="n">
        <f aca="false">SUM(B24:G24)</f>
        <v>1896.81090280516</v>
      </c>
    </row>
    <row r="36" customFormat="false" ht="15" hidden="false" customHeight="true" outlineLevel="0" collapsed="false">
      <c r="A36" s="27" t="s">
        <v>360</v>
      </c>
      <c r="H36" s="30" t="n">
        <f aca="false">H32</f>
        <v>5234.70568336048</v>
      </c>
    </row>
    <row r="37" customFormat="false" ht="17.25" hidden="false" customHeight="true" outlineLevel="0" collapsed="false">
      <c r="A37" s="56" t="s">
        <v>361</v>
      </c>
      <c r="H37" s="57" t="n">
        <f aca="false">H35+H36</f>
        <v>7131.51658616563</v>
      </c>
    </row>
    <row r="38" customFormat="false" ht="15" hidden="false" customHeight="true" outlineLevel="0" collapsed="false">
      <c r="A38" s="27" t="s">
        <v>362</v>
      </c>
      <c r="H38" s="31" t="n">
        <f aca="false">H36/H37</f>
        <v>0.73402418968151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4"/>
    <col collapsed="false" customWidth="true" hidden="false" outlineLevel="0" max="3" min="2" style="1" width="18"/>
    <col collapsed="false" customWidth="true" hidden="false" outlineLevel="0" max="4" min="4" style="1" width="55"/>
  </cols>
  <sheetData>
    <row r="1" customFormat="false" ht="15.75" hidden="false" customHeight="true" outlineLevel="0" collapsed="false">
      <c r="A1" s="25" t="s">
        <v>363</v>
      </c>
      <c r="B1" s="25"/>
      <c r="C1" s="25"/>
      <c r="D1" s="25"/>
    </row>
    <row r="3" customFormat="false" ht="19.5" hidden="false" customHeight="true" outlineLevel="0" collapsed="false">
      <c r="A3" s="26" t="s">
        <v>243</v>
      </c>
      <c r="B3" s="6" t="s">
        <v>364</v>
      </c>
      <c r="C3" s="6" t="s">
        <v>365</v>
      </c>
      <c r="D3" s="6" t="s">
        <v>227</v>
      </c>
    </row>
    <row r="5" customFormat="false" ht="21.75" hidden="false" customHeight="true" outlineLevel="0" collapsed="false">
      <c r="A5" s="5" t="s">
        <v>366</v>
      </c>
      <c r="B5" s="7"/>
      <c r="C5" s="7"/>
      <c r="D5" s="7"/>
    </row>
    <row r="6" customFormat="false" ht="15" hidden="false" customHeight="true" outlineLevel="0" collapsed="false">
      <c r="A6" s="27" t="s">
        <v>270</v>
      </c>
      <c r="B6" s="29" t="n">
        <f aca="false">Assumptions!$B$55</f>
        <v>1260.8</v>
      </c>
      <c r="D6" s="4" t="s">
        <v>367</v>
      </c>
    </row>
    <row r="7" customFormat="false" ht="26.25" hidden="false" customHeight="true" outlineLevel="0" collapsed="false">
      <c r="A7" s="27" t="s">
        <v>368</v>
      </c>
      <c r="B7" s="30" t="n">
        <f aca="false">-Assumptions!$B$67*Assumptions!$B$66</f>
        <v>-43.6986301369863</v>
      </c>
      <c r="D7" s="4" t="s">
        <v>369</v>
      </c>
    </row>
    <row r="8" customFormat="false" ht="15" hidden="false" customHeight="true" outlineLevel="0" collapsed="false">
      <c r="A8" s="27" t="s">
        <v>370</v>
      </c>
      <c r="B8" s="30" t="n">
        <f aca="false">Assumptions!$B$68*Assumptions!$B$66</f>
        <v>38.5753424657534</v>
      </c>
      <c r="D8" s="4" t="s">
        <v>371</v>
      </c>
    </row>
    <row r="9" customFormat="false" ht="39" hidden="false" customHeight="true" outlineLevel="0" collapsed="false">
      <c r="A9" s="27" t="s">
        <v>372</v>
      </c>
      <c r="B9" s="29" t="n">
        <f aca="false">Assumptions!$B$69</f>
        <v>25</v>
      </c>
      <c r="D9" s="4" t="s">
        <v>373</v>
      </c>
    </row>
    <row r="10" customFormat="false" ht="15" hidden="false" customHeight="true" outlineLevel="0" collapsed="false">
      <c r="A10" s="3" t="s">
        <v>374</v>
      </c>
      <c r="B10" s="34" t="n">
        <f aca="false">SUM(B7:B9)</f>
        <v>19.8767123287671</v>
      </c>
    </row>
    <row r="11" customFormat="false" ht="15" hidden="false" customHeight="true" outlineLevel="0" collapsed="false">
      <c r="A11" s="3" t="s">
        <v>274</v>
      </c>
      <c r="C11" s="34" t="n">
        <f aca="false">B6+B10</f>
        <v>1280.67671232877</v>
      </c>
    </row>
    <row r="13" customFormat="false" ht="21.75" hidden="false" customHeight="true" outlineLevel="0" collapsed="false">
      <c r="A13" s="5" t="s">
        <v>191</v>
      </c>
      <c r="B13" s="7"/>
      <c r="C13" s="7"/>
      <c r="D13" s="7"/>
    </row>
    <row r="14" customFormat="false" ht="26.25" hidden="false" customHeight="true" outlineLevel="0" collapsed="false">
      <c r="A14" s="27" t="s">
        <v>375</v>
      </c>
      <c r="B14" s="29" t="n">
        <f aca="false">Assumptions!$B$72</f>
        <v>81.4</v>
      </c>
      <c r="D14" s="4" t="s">
        <v>376</v>
      </c>
    </row>
    <row r="15" customFormat="false" ht="39" hidden="false" customHeight="true" outlineLevel="0" collapsed="false">
      <c r="A15" s="27" t="s">
        <v>377</v>
      </c>
      <c r="B15" s="29" t="n">
        <f aca="false">Assumptions!$B$75</f>
        <v>44</v>
      </c>
      <c r="D15" s="4" t="s">
        <v>378</v>
      </c>
    </row>
    <row r="16" customFormat="false" ht="15" hidden="false" customHeight="true" outlineLevel="0" collapsed="false">
      <c r="A16" s="27" t="s">
        <v>379</v>
      </c>
      <c r="B16" s="29" t="n">
        <f aca="false">Assumptions!$B$76</f>
        <v>80</v>
      </c>
      <c r="D16" s="4" t="s">
        <v>380</v>
      </c>
    </row>
    <row r="17" customFormat="false" ht="26.25" hidden="false" customHeight="true" outlineLevel="0" collapsed="false">
      <c r="A17" s="27" t="s">
        <v>381</v>
      </c>
      <c r="B17" s="29" t="n">
        <f aca="false">Assumptions!$B$77</f>
        <v>12</v>
      </c>
      <c r="D17" s="4" t="s">
        <v>382</v>
      </c>
    </row>
    <row r="18" customFormat="false" ht="26.25" hidden="false" customHeight="true" outlineLevel="0" collapsed="false">
      <c r="A18" s="27" t="s">
        <v>383</v>
      </c>
      <c r="B18" s="29" t="n">
        <f aca="false">-Assumptions!$B$80</f>
        <v>-72.5</v>
      </c>
      <c r="D18" s="4" t="s">
        <v>384</v>
      </c>
    </row>
    <row r="19" customFormat="false" ht="15" hidden="false" customHeight="true" outlineLevel="0" collapsed="false">
      <c r="A19" s="3" t="s">
        <v>385</v>
      </c>
      <c r="B19" s="34" t="n">
        <f aca="false">SUM(B14:B18)</f>
        <v>144.9</v>
      </c>
    </row>
    <row r="21" customFormat="false" ht="21.75" hidden="false" customHeight="true" outlineLevel="0" collapsed="false">
      <c r="A21" s="5" t="s">
        <v>386</v>
      </c>
      <c r="B21" s="7"/>
      <c r="C21" s="7"/>
      <c r="D21" s="7"/>
    </row>
    <row r="22" customFormat="false" ht="15" hidden="false" customHeight="true" outlineLevel="0" collapsed="false">
      <c r="A22" s="27" t="s">
        <v>387</v>
      </c>
      <c r="C22" s="29" t="n">
        <f aca="false">'DCF Worksheet'!H37</f>
        <v>7131.51658616563</v>
      </c>
    </row>
    <row r="23" customFormat="false" ht="15" hidden="false" customHeight="true" outlineLevel="0" collapsed="false">
      <c r="A23" s="27" t="s">
        <v>388</v>
      </c>
      <c r="C23" s="30" t="n">
        <f aca="false">-C11</f>
        <v>-1280.67671232877</v>
      </c>
    </row>
    <row r="24" customFormat="false" ht="15" hidden="false" customHeight="true" outlineLevel="0" collapsed="false">
      <c r="A24" s="27" t="s">
        <v>389</v>
      </c>
      <c r="C24" s="30" t="n">
        <f aca="false">-B19</f>
        <v>-144.9</v>
      </c>
    </row>
    <row r="25" customFormat="false" ht="17.25" hidden="false" customHeight="true" outlineLevel="0" collapsed="false">
      <c r="A25" s="56" t="s">
        <v>390</v>
      </c>
      <c r="C25" s="58" t="n">
        <f aca="false">C22+C23+C24</f>
        <v>5705.93987383687</v>
      </c>
    </row>
    <row r="26" customFormat="false" ht="15" hidden="false" customHeight="true" outlineLevel="0" collapsed="false">
      <c r="A26" s="27" t="s">
        <v>391</v>
      </c>
      <c r="C26" s="29" t="n">
        <f aca="false">Assumptions!$B$62</f>
        <v>1770</v>
      </c>
    </row>
    <row r="27" customFormat="false" ht="19.5" hidden="false" customHeight="true" outlineLevel="0" collapsed="false">
      <c r="A27" s="59" t="s">
        <v>386</v>
      </c>
      <c r="C27" s="60" t="n">
        <f aca="false">C25/C26</f>
        <v>3.22369484397563</v>
      </c>
    </row>
    <row r="29" customFormat="false" ht="21.75" hidden="false" customHeight="true" outlineLevel="0" collapsed="false">
      <c r="A29" s="5" t="s">
        <v>392</v>
      </c>
      <c r="B29" s="7"/>
      <c r="C29" s="7"/>
      <c r="D29" s="7"/>
    </row>
    <row r="30" customFormat="false" ht="15" hidden="false" customHeight="true" outlineLevel="0" collapsed="false">
      <c r="A30" s="27" t="s">
        <v>393</v>
      </c>
      <c r="C30" s="61" t="n">
        <f aca="false">Assumptions!$B$83</f>
        <v>3.61</v>
      </c>
    </row>
    <row r="31" customFormat="false" ht="39" hidden="false" customHeight="true" outlineLevel="0" collapsed="false">
      <c r="A31" s="27" t="s">
        <v>394</v>
      </c>
      <c r="C31" s="31" t="n">
        <f aca="false">C27/C30-1</f>
        <v>-0.107009738510906</v>
      </c>
      <c r="D31" s="4" t="s">
        <v>395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2026-05-25T06:50:33Z</dcterms:created>
  <dc:creator>openpyxl</dc:creator>
  <dc:description/>
  <dc:language>en-US</dc:language>
  <cp:lastModifiedBy/>
  <dcterms:modified xsi:type="dcterms:W3CDTF">2026-05-25T06:57:03Z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