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ax Bridge" sheetId="3" state="visible" r:id="rId3"/>
    <sheet xmlns:r="http://schemas.openxmlformats.org/officeDocument/2006/relationships" name="P&amp;L Summary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WACC Build" sheetId="6" state="visible" r:id="rId6"/>
    <sheet xmlns:r="http://schemas.openxmlformats.org/officeDocument/2006/relationships" name="IMI Register" sheetId="7" state="visible" r:id="rId7"/>
    <sheet xmlns:r="http://schemas.openxmlformats.org/officeDocument/2006/relationships" name="DCF Build-up (v5)" sheetId="8" state="visible" r:id="rId8"/>
    <sheet xmlns:r="http://schemas.openxmlformats.org/officeDocument/2006/relationships" name="DCF Worksheet" sheetId="9" state="visible" r:id="rId9"/>
    <sheet xmlns:r="http://schemas.openxmlformats.org/officeDocument/2006/relationships" name="Equity Bridge" sheetId="10" state="visible" r:id="rId10"/>
    <sheet xmlns:r="http://schemas.openxmlformats.org/officeDocument/2006/relationships" name="Source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0.000"/>
    <numFmt numFmtId="165" formatCode="#,##0;\(#,##0\);\-"/>
    <numFmt numFmtId="166" formatCode="0.0%;\(0.0%\);\-"/>
    <numFmt numFmtId="167" formatCode="0.00%;\(0.00%\);\-"/>
    <numFmt numFmtId="168" formatCode="0.0"/>
    <numFmt numFmtId="169" formatCode="&quot;AUD &quot;0.00"/>
    <numFmt numFmtId="170" formatCode="0.0\x"/>
    <numFmt numFmtId="171" formatCode="0.0000"/>
    <numFmt numFmtId="172" formatCode="&quot;AUD &quot;#,##0.00;&quot;(AUD &quot;#,##0.00\);\-"/>
    <numFmt numFmtId="173" formatCode="+0.00%;-0.00%"/>
    <numFmt numFmtId="174" formatCode="0.0%"/>
    <numFmt numFmtId="175" formatCode="+0&quot;bps&quot;;-0&quot;bps&quot;;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1F4E78"/>
      <sz val="13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8000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808080"/>
      <sz val="11"/>
    </font>
    <font>
      <name val="Arial"/>
      <charset val="1"/>
      <family val="0"/>
      <b val="1"/>
      <sz val="16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b val="1"/>
      <sz val="10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6" fontId="9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9" fillId="3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2" fontId="9" fillId="3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center"/>
    </xf>
    <xf numFmtId="167" fontId="12" fillId="3" borderId="0" applyAlignment="1" pivotButton="0" quotePrefix="0" xfId="0">
      <alignment horizontal="right" vertical="center"/>
    </xf>
    <xf numFmtId="2" fontId="12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7" fontId="5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13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71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4" fillId="3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72" fontId="16" fillId="3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18" fillId="0" borderId="0" pivotButton="0" quotePrefix="0" xfId="0"/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6" fontId="9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9" fillId="3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2" fontId="9" fillId="3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center"/>
    </xf>
    <xf numFmtId="167" fontId="12" fillId="3" borderId="0" applyAlignment="1" pivotButton="0" quotePrefix="0" xfId="0">
      <alignment horizontal="right" vertical="center"/>
    </xf>
    <xf numFmtId="2" fontId="12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7" fontId="5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13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1" fillId="6" borderId="1" applyAlignment="1" pivotButton="0" quotePrefix="0" xfId="0">
      <alignment horizontal="center"/>
    </xf>
    <xf numFmtId="0" fontId="22" fillId="7" borderId="0" pivotButton="0" quotePrefix="0" xfId="0"/>
    <xf numFmtId="0" fontId="0" fillId="7" borderId="0" pivotButton="0" quotePrefix="0" xfId="0"/>
    <xf numFmtId="0" fontId="18" fillId="0" borderId="1" pivotButton="0" quotePrefix="0" xfId="0"/>
    <xf numFmtId="10" fontId="18" fillId="0" borderId="1" pivotButton="0" quotePrefix="0" xfId="0"/>
    <xf numFmtId="173" fontId="18" fillId="0" borderId="1" pivotButton="0" quotePrefix="0" xfId="0"/>
    <xf numFmtId="0" fontId="23" fillId="7" borderId="1" pivotButton="0" quotePrefix="0" xfId="0"/>
    <xf numFmtId="10" fontId="23" fillId="7" borderId="1" pivotButton="0" quotePrefix="0" xfId="0"/>
    <xf numFmtId="0" fontId="23" fillId="8" borderId="1" pivotButton="0" quotePrefix="0" xfId="0"/>
    <xf numFmtId="3" fontId="23" fillId="8" borderId="1" pivotButton="0" quotePrefix="0" xfId="0"/>
    <xf numFmtId="174" fontId="18" fillId="0" borderId="1" pivotButton="0" quotePrefix="0" xfId="0"/>
    <xf numFmtId="175" fontId="18" fillId="0" borderId="1" pivotButton="0" quotePrefix="0" xfId="0"/>
    <xf numFmtId="174" fontId="23" fillId="7" borderId="1" pivotButton="0" quotePrefix="0" xfId="0"/>
    <xf numFmtId="0" fontId="24" fillId="0" borderId="0" pivotButton="0" quotePrefix="0" xfId="0"/>
    <xf numFmtId="167" fontId="11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71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4" fillId="3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72" fontId="16" fillId="3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66" min="1" max="1"/>
    <col width="32" customWidth="1" style="66" min="2" max="2"/>
    <col width="85" customWidth="1" style="66" min="3" max="3"/>
  </cols>
  <sheetData>
    <row r="1" ht="19.7" customHeight="1" s="67">
      <c r="B1" s="68" t="inlineStr">
        <is>
          <t>Dyno Nobel Limited (DNL.AU) — Muddle Through valuation v4 (29 May 2026)</t>
        </is>
      </c>
    </row>
    <row r="2"/>
    <row r="3" ht="15" customHeight="1" s="67">
      <c r="A3" s="69" t="inlineStr">
        <is>
          <t>v5 backport (17 June 2026)</t>
        </is>
      </c>
      <c r="B3" s="70" t="inlineStr">
        <is>
          <t>Scenario:</t>
        </is>
      </c>
      <c r="C3" s="71" t="inlineStr">
        <is>
          <t>Muddle Through (interior, most-likely)</t>
        </is>
      </c>
    </row>
    <row r="4" ht="15" customHeight="1" s="67">
      <c r="A4" s="72" t="inlineStr">
        <is>
          <t xml:space="preserve">  • Renamed Transformation Overlay → Peer-gap closure overlay (methodology §3.2 v0.6)</t>
        </is>
      </c>
    </row>
    <row r="5" ht="15" customHeight="1" s="67">
      <c r="A5" s="72" t="inlineStr">
        <is>
          <t xml:space="preserve">  • Beta updated to 1.10 via peer-triangulation (§3.5.3): Orica / Yara / ICL cluster midpoint; replaces v4 estimate 1.15</t>
        </is>
      </c>
    </row>
    <row r="6" ht="15" customHeight="1" s="67">
      <c r="A6" s="72" t="inlineStr">
        <is>
          <t xml:space="preserve">  • Cost of equity revised: Re = 9.80% (was 10.05%); WACC = 8.68% (was 8.82%)</t>
        </is>
      </c>
    </row>
    <row r="7" ht="15" customHeight="1" s="67">
      <c r="A7" s="72" t="inlineStr">
        <is>
          <t xml:space="preserve">  • DCF Worksheet: industry + company offset decomposition added per §11 (Step 2 → Step 3 traceability)</t>
        </is>
      </c>
    </row>
    <row r="8" ht="15" customHeight="1" s="67">
      <c r="B8" s="70" t="inlineStr">
        <is>
          <t>What changed in v4 (review feedback):</t>
        </is>
      </c>
      <c r="C8" s="71" t="n"/>
    </row>
    <row r="9" ht="39.55" customHeight="1" s="67">
      <c r="B9" s="70" t="inlineStr">
        <is>
          <t xml:space="preserve">  Q1 — Base EBIT</t>
        </is>
      </c>
      <c r="C9" s="71" t="inlineStr">
        <is>
          <t>Corrected to AUD 480m (was AUD 440m). Slide 27 + 28 confirm guidance is Total Dyno Nobel underlying, with corporate already deducted at segment level. Base margin 14.1% (was 12.9%).</t>
        </is>
      </c>
    </row>
    <row r="10" ht="26.85" customHeight="1" s="67">
      <c r="B10" s="70" t="inlineStr">
        <is>
          <t xml:space="preserve">  Q2/Q3 — Margin glide reconciled</t>
        </is>
      </c>
      <c r="C10" s="71" t="inlineStr">
        <is>
          <t>Y1 transformation delta lowered to +60bps; FY27 lands at ~AUD 530m (mid-upper exit run-rate AUD 495-525m). FY28 +180bps reaches AUD 600m ambition.</t>
        </is>
      </c>
    </row>
    <row r="11" ht="26.85" customHeight="1" s="67">
      <c r="B11" s="70" t="inlineStr">
        <is>
          <t xml:space="preserve">  Q6 — OCF run rate</t>
        </is>
      </c>
      <c r="C11" s="71" t="inlineStr">
        <is>
          <t>Period A walk-forward uses AUD 500m underlying (H1 AUD 145m grossed up for one-off TWC unwind), not AUD 290m simple-double.</t>
        </is>
      </c>
    </row>
    <row r="12" ht="39.55" customHeight="1" s="67">
      <c r="B12" s="70" t="inlineStr">
        <is>
          <t xml:space="preserve">  Q7 — Fertilisers separation cash flows</t>
        </is>
      </c>
      <c r="C12" s="71" t="inlineStr">
        <is>
          <t>Slide 29 list complete: added IPF Distribution deferred +AUD 125m (prob-weighted), Geelong remediation -AUD 35m, Gibson Island remediation -AUD 97m, transaction costs -AUD 11m, Phosphate Hill contingent +AUD 100m (prob-weighted at 30%).</t>
        </is>
      </c>
    </row>
    <row r="13" ht="26.85" customHeight="1" s="67">
      <c r="B13" s="70" t="inlineStr">
        <is>
          <t xml:space="preserve">  Q8 — Buyback inconsistency</t>
        </is>
      </c>
      <c r="C13" s="71" t="inlineStr">
        <is>
          <t>Removed Period A buyback adjustment. Per methodology section 5.2 (on-market buyback at fair value is value-neutral). Share count and net debt both at 31 March 2026 anchor.</t>
        </is>
      </c>
    </row>
    <row r="14" ht="15" customHeight="1" s="67">
      <c r="B14" s="70" t="inlineStr">
        <is>
          <t xml:space="preserve">  WACC (i) — Hamada</t>
        </is>
      </c>
      <c r="C14" s="71" t="inlineStr">
        <is>
          <t>Confirmed: re-lever using Hamada with marginal-rate tax shield (30%).</t>
        </is>
      </c>
    </row>
    <row r="15" ht="26.85" customHeight="1" s="67">
      <c r="B15" s="70" t="inlineStr">
        <is>
          <t xml:space="preserve">  WACC (ii) — World index</t>
        </is>
      </c>
      <c r="C15" s="71" t="inlineStr">
        <is>
          <t>Beta convention now AUD-MSCI World as primary for companies with &gt;30% non-Australian revenue. DNL beta: 0.95 (vs 1.15 ASX200 in v3).</t>
        </is>
      </c>
    </row>
    <row r="16" ht="15" customHeight="1" s="67">
      <c r="B16" s="70" t="inlineStr">
        <is>
          <t xml:space="preserve">  WACC (iii) — Lower WACC</t>
        </is>
      </c>
      <c r="C16" s="71" t="inlineStr">
        <is>
          <t>Applied WACC drops 9.16% -&gt; 8.25%. Dominant mover for the change in per-share value.</t>
        </is>
      </c>
    </row>
    <row r="17" ht="39.55" customHeight="1" s="67">
      <c r="B17" s="70" t="inlineStr">
        <is>
          <t xml:space="preserve">  Tax — Effective glides to blended statutory</t>
        </is>
      </c>
      <c r="C17" s="71" t="inlineStr">
        <is>
          <t>Effective 22.5% (Y1) -&gt; blended statutory 27.5% (Y5/terminal), linear glide. Blended statutory = sum of jurisdictional weights x statutory rates. Captures structural US-mix advantage (persistent ~2.5pp gap to AU statutory).</t>
        </is>
      </c>
    </row>
    <row r="18" ht="15" customHeight="1" s="67">
      <c r="B18" s="70" t="n"/>
      <c r="C18" s="71" t="n"/>
    </row>
    <row r="19" ht="15" customHeight="1" s="67">
      <c r="B19" s="70" t="inlineStr">
        <is>
          <t>New tabs in v4:</t>
        </is>
      </c>
      <c r="C19" s="71" t="n"/>
    </row>
    <row r="20" ht="15" customHeight="1" s="67">
      <c r="B20" s="70" t="inlineStr">
        <is>
          <t xml:space="preserve">  Tax Bridge</t>
        </is>
      </c>
      <c r="C20" s="71" t="inlineStr">
        <is>
          <t>Jurisdictional weights table + tax glide path.</t>
        </is>
      </c>
    </row>
    <row r="21" ht="15" customHeight="1" s="67">
      <c r="B21" s="70" t="inlineStr">
        <is>
          <t xml:space="preserve">  Sources</t>
        </is>
      </c>
      <c r="C21" s="71" t="inlineStr">
        <is>
          <t>Audit-trail tab citing specific H1 financial report pages and slides.</t>
        </is>
      </c>
    </row>
    <row r="22" ht="15" customHeight="1" s="67">
      <c r="B22" s="70" t="n"/>
      <c r="C22" s="71" t="n"/>
    </row>
    <row r="23" ht="15" customHeight="1" s="67">
      <c r="B23" s="70" t="inlineStr">
        <is>
          <t>Methodology references:</t>
        </is>
      </c>
      <c r="C23" s="71" t="n"/>
    </row>
    <row r="24" ht="15" customHeight="1" s="67">
      <c r="B24" s="70" t="inlineStr">
        <is>
          <t xml:space="preserve">  Equity bridge &amp; valuation mechanics</t>
        </is>
      </c>
      <c r="C24" s="71" t="inlineStr">
        <is>
          <t>design/methodology/equity_bridge_and_valuation_mechanics.md (sections 3.1-3.5, 4-7)</t>
        </is>
      </c>
    </row>
    <row r="25" ht="15" customHeight="1" s="67">
      <c r="B25" s="70" t="inlineStr">
        <is>
          <t xml:space="preserve">  Single WACC discipline</t>
        </is>
      </c>
      <c r="C25" s="71" t="inlineStr">
        <is>
          <t>section 3.5</t>
        </is>
      </c>
    </row>
    <row r="26" ht="15" customHeight="1" s="67">
      <c r="B26" s="70" t="inlineStr">
        <is>
          <t xml:space="preserve">  Structural headwind overlay</t>
        </is>
      </c>
      <c r="C26" s="71" t="inlineStr">
        <is>
          <t>section 3.2.1 (gas-contract roll-off remains in v4)</t>
        </is>
      </c>
    </row>
    <row r="27" ht="26.85" customHeight="1" s="67">
      <c r="B27" s="70" t="inlineStr">
        <is>
          <t xml:space="preserve">  Tax discipline (new, pending §3.6)</t>
        </is>
      </c>
      <c r="C27" s="71" t="inlineStr">
        <is>
          <t>Effective glides to blended statutory by terminal year. Sources: jurisdictional revenue mix, statutory rates by jurisdiction.</t>
        </is>
      </c>
    </row>
    <row r="28" ht="15" customHeight="1" s="67">
      <c r="B28" s="70" t="n"/>
      <c r="C28" s="71" t="n"/>
    </row>
    <row r="29" ht="15" customHeight="1" s="67">
      <c r="B29" s="70" t="inlineStr">
        <is>
          <t>Colour key:</t>
        </is>
      </c>
      <c r="C29" s="71" t="n"/>
    </row>
    <row r="30" ht="15" customHeight="1" s="67">
      <c r="B30" s="70" t="inlineStr">
        <is>
          <t xml:space="preserve">  Blue text</t>
        </is>
      </c>
      <c r="C30" s="71" t="inlineStr">
        <is>
          <t>Hardcoded input — override to flow through the model</t>
        </is>
      </c>
    </row>
    <row r="31" ht="15" customHeight="1" s="67">
      <c r="B31" s="70" t="inlineStr">
        <is>
          <t xml:space="preserve">  Black text</t>
        </is>
      </c>
      <c r="C31" s="71" t="inlineStr">
        <is>
          <t>Formula / calculation</t>
        </is>
      </c>
    </row>
    <row r="32" ht="15" customHeight="1" s="67">
      <c r="B32" s="70" t="inlineStr">
        <is>
          <t xml:space="preserve">  Green text</t>
        </is>
      </c>
      <c r="C32" s="71" t="inlineStr">
        <is>
          <t>Cross-sheet link</t>
        </is>
      </c>
    </row>
    <row r="33" ht="15" customHeight="1" s="67">
      <c r="B33" s="70" t="inlineStr">
        <is>
          <t xml:space="preserve">  Yellow background</t>
        </is>
      </c>
      <c r="C33" s="71" t="inlineStr">
        <is>
          <t>Key assumption — flagged for attention</t>
        </is>
      </c>
    </row>
  </sheetData>
  <mergeCells count="4">
    <mergeCell ref="A7:H7"/>
    <mergeCell ref="A4:H4"/>
    <mergeCell ref="A6:H6"/>
    <mergeCell ref="A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66" min="1" max="1"/>
    <col width="14" customWidth="1" style="66" min="2" max="2"/>
    <col width="12" customWidth="1" style="66" min="3" max="3"/>
    <col width="65" customWidth="1" style="66" min="4" max="4"/>
  </cols>
  <sheetData>
    <row r="1" ht="21.75" customHeight="1" s="67">
      <c r="A1" s="73" t="inlineStr">
        <is>
          <t>Parameter</t>
        </is>
      </c>
      <c r="B1" s="74" t="inlineStr">
        <is>
          <t>Value</t>
        </is>
      </c>
      <c r="C1" s="74" t="inlineStr">
        <is>
          <t>Units</t>
        </is>
      </c>
      <c r="D1" s="74" t="inlineStr">
        <is>
          <t>Source / rationale</t>
        </is>
      </c>
    </row>
    <row r="2" ht="19.5" customHeight="1" s="67">
      <c r="A2" s="75" t="inlineStr">
        <is>
          <t>DATES (per methodology section 7)</t>
        </is>
      </c>
      <c r="B2" s="76" t="n"/>
      <c r="C2" s="76" t="n"/>
      <c r="D2" s="76" t="n"/>
    </row>
    <row r="3" ht="15" customHeight="1" s="67">
      <c r="A3" s="71" t="inlineStr">
        <is>
          <t>Valuation date</t>
        </is>
      </c>
      <c r="B3" s="77" t="inlineStr">
        <is>
          <t>25-May-2026</t>
        </is>
      </c>
      <c r="C3" s="78" t="n"/>
      <c r="D3" s="71" t="inlineStr">
        <is>
          <t>Today.</t>
        </is>
      </c>
    </row>
    <row r="4" ht="15" customHeight="1" s="67">
      <c r="A4" s="71" t="inlineStr">
        <is>
          <t>Anchor date (financials)</t>
        </is>
      </c>
      <c r="B4" s="77" t="inlineStr">
        <is>
          <t>31-Mar-2026</t>
        </is>
      </c>
      <c r="C4" s="78" t="n"/>
      <c r="D4" s="71" t="inlineStr">
        <is>
          <t>H1 FY26.</t>
        </is>
      </c>
    </row>
    <row r="5" ht="15" customHeight="1" s="67">
      <c r="A5" s="71" t="inlineStr">
        <is>
          <t>Year 1 start (next FY)</t>
        </is>
      </c>
      <c r="B5" s="77" t="inlineStr">
        <is>
          <t>1-Oct-2026</t>
        </is>
      </c>
      <c r="C5" s="78" t="n"/>
      <c r="D5" s="71" t="inlineStr">
        <is>
          <t>FY27 start.</t>
        </is>
      </c>
    </row>
    <row r="6" ht="15" customHeight="1" s="67">
      <c r="A6" s="71" t="inlineStr">
        <is>
          <t>Stub period (years)</t>
        </is>
      </c>
      <c r="B6" s="79" t="n">
        <v>0.351</v>
      </c>
      <c r="C6" s="78" t="inlineStr">
        <is>
          <t>yrs</t>
        </is>
      </c>
      <c r="D6" s="71" t="inlineStr">
        <is>
          <t>128 days / 365.</t>
        </is>
      </c>
    </row>
    <row r="8" ht="19.5" customHeight="1" s="67">
      <c r="A8" s="75" t="inlineStr">
        <is>
          <t>BASE YEAR (FY26 — corrected per Q1 review)</t>
        </is>
      </c>
      <c r="B8" s="76" t="n"/>
      <c r="C8" s="76" t="n"/>
      <c r="D8" s="76" t="n"/>
    </row>
    <row r="9" ht="39.55" customHeight="1" s="67">
      <c r="A9" s="71" t="inlineStr">
        <is>
          <t>Base year revenue (FY26)</t>
        </is>
      </c>
      <c r="B9" s="80" t="n">
        <v>3400</v>
      </c>
      <c r="C9" s="78" t="inlineStr">
        <is>
          <t>AUD m</t>
        </is>
      </c>
      <c r="D9" s="71" t="inlineStr">
        <is>
          <t>FY26 continuing-ops Explosives revenue (excludes discontinued Phosphate Hill). Implied from H1 actual AUD 1,610m + H2 ~AUD 1,790m given guidance midpoint EBIT AUD 480m at margin ~14.1%.</t>
        </is>
      </c>
    </row>
    <row r="10" ht="52.2" customHeight="1" s="67">
      <c r="A10" s="71" t="inlineStr">
        <is>
          <t>Base year EBIT margin (Group, FY26)</t>
        </is>
      </c>
      <c r="B10" s="81" t="n">
        <v>0.141</v>
      </c>
      <c r="C10" s="78" t="inlineStr">
        <is>
          <t>%</t>
        </is>
      </c>
      <c r="D10" s="71" t="inlineStr">
        <is>
          <t>AUD 480m guidance midpoint / AUD 3,400m revenue. Q1 correction: corporate ALREADY DEDUCTED in segment guidance per slides 27-28 of H1 investor presentation. Was 12.9% in v3 (-12% double-counting error).</t>
        </is>
      </c>
    </row>
    <row r="11" ht="15" customHeight="1" s="67">
      <c r="A11" s="71" t="inlineStr">
        <is>
          <t>Steady-state capex/revenue (long run)</t>
        </is>
      </c>
      <c r="B11" s="82" t="n">
        <v>0.07000000000000001</v>
      </c>
      <c r="C11" s="78" t="inlineStr">
        <is>
          <t>%</t>
        </is>
      </c>
      <c r="D11" s="71" t="inlineStr">
        <is>
          <t>Pre-demerger normalised pattern.</t>
        </is>
      </c>
    </row>
    <row r="12" ht="15" customHeight="1" s="67">
      <c r="A12" s="71" t="inlineStr">
        <is>
          <t>FY26-27 capex/revenue (transition)</t>
        </is>
      </c>
      <c r="B12" s="82" t="n">
        <v>0.08</v>
      </c>
      <c r="C12" s="78" t="inlineStr">
        <is>
          <t>%</t>
        </is>
      </c>
      <c r="D12" s="71" t="inlineStr">
        <is>
          <t>FY26 guidance AUD 250-300m on AUD 3,400m revenue = ~8%.</t>
        </is>
      </c>
    </row>
    <row r="13" ht="15" customHeight="1" s="67">
      <c r="A13" s="71" t="inlineStr">
        <is>
          <t>D&amp;A / revenue</t>
        </is>
      </c>
      <c r="B13" s="82" t="n">
        <v>0.073</v>
      </c>
      <c r="C13" s="78" t="inlineStr">
        <is>
          <t>%</t>
        </is>
      </c>
      <c r="D13" s="71" t="inlineStr">
        <is>
          <t>Steady-state approx; FY25 actual 7.66%.</t>
        </is>
      </c>
    </row>
    <row r="14" ht="15" customHeight="1" s="67">
      <c r="A14" s="71" t="inlineStr">
        <is>
          <t>Working capital change</t>
        </is>
      </c>
      <c r="B14" s="83" t="n">
        <v>0</v>
      </c>
      <c r="C14" s="78" t="inlineStr">
        <is>
          <t>AUD m / yr</t>
        </is>
      </c>
      <c r="D14" s="71" t="inlineStr">
        <is>
          <t>Smoke-test simplification: neutral.</t>
        </is>
      </c>
    </row>
    <row r="16" ht="19.5" customHeight="1" s="67">
      <c r="A16" s="75" t="inlineStr">
        <is>
          <t>SCENARIO MACRO BASELINE (Muddle Through)</t>
        </is>
      </c>
      <c r="B16" s="76" t="n"/>
      <c r="C16" s="76" t="n"/>
      <c r="D16" s="76" t="n"/>
    </row>
    <row r="17" ht="15" customHeight="1" s="67">
      <c r="A17" s="71" t="inlineStr">
        <is>
          <t>DM real GDP growth</t>
        </is>
      </c>
      <c r="B17" s="84" t="n">
        <v>0.02</v>
      </c>
      <c r="C17" s="78" t="inlineStr">
        <is>
          <t>%</t>
        </is>
      </c>
      <c r="D17" s="71" t="inlineStr">
        <is>
          <t>Aus 1.8-2.2%, US 1.8-2.2%; central 2.0%.</t>
        </is>
      </c>
    </row>
    <row r="18" ht="15" customHeight="1" s="67">
      <c r="A18" s="71" t="inlineStr">
        <is>
          <t>DM inflation (normalising)</t>
        </is>
      </c>
      <c r="B18" s="84" t="n">
        <v>0.025</v>
      </c>
      <c r="C18" s="78" t="inlineStr">
        <is>
          <t>%</t>
        </is>
      </c>
      <c r="D18" s="71" t="inlineStr">
        <is>
          <t>Gradually normalising; central 2.5%.</t>
        </is>
      </c>
    </row>
    <row r="19" ht="26.85" customHeight="1" s="67">
      <c r="A19" s="71" t="inlineStr">
        <is>
          <t>Global mining real growth</t>
        </is>
      </c>
      <c r="B19" s="84" t="n">
        <v>0.025</v>
      </c>
      <c r="C19" s="78" t="inlineStr">
        <is>
          <t>%</t>
        </is>
      </c>
      <c r="D19" s="71" t="inlineStr">
        <is>
          <t>Tracks real GDP with EM mining tilt; +50bps from depletion / ore-grade decline.</t>
        </is>
      </c>
    </row>
    <row r="20" ht="15" customHeight="1" s="67">
      <c r="A20" s="71" t="inlineStr">
        <is>
          <t>Gas price growth (input cost proxy)</t>
        </is>
      </c>
      <c r="B20" s="84" t="n">
        <v>0.02</v>
      </c>
      <c r="C20" s="78" t="inlineStr">
        <is>
          <t>%</t>
        </is>
      </c>
      <c r="D20" s="71" t="inlineStr">
        <is>
          <t>No commodity boom in Muddle Through; tracks long-run inflation.</t>
        </is>
      </c>
    </row>
    <row r="22" ht="19.5" customHeight="1" s="67">
      <c r="A22" s="75" t="inlineStr">
        <is>
          <t>INDUSTRY ARCHETYPE TRANSLATION (industrial explosives)</t>
        </is>
      </c>
      <c r="B22" s="76" t="n"/>
      <c r="C22" s="76" t="n"/>
      <c r="D22" s="76" t="n"/>
    </row>
    <row r="23" ht="15" customHeight="1" s="67">
      <c r="A23" s="71" t="inlineStr">
        <is>
          <t>Volume formula coefficient (a)</t>
        </is>
      </c>
      <c r="B23" s="85" t="n">
        <v>1.15</v>
      </c>
      <c r="C23" s="78" t="n"/>
      <c r="D23" s="71" t="inlineStr">
        <is>
          <t>volume_growth = a x mining_real_growth + b</t>
        </is>
      </c>
    </row>
    <row r="24" ht="15" customHeight="1" s="67">
      <c r="A24" s="71" t="inlineStr">
        <is>
          <t>Volume formula constant (b)</t>
        </is>
      </c>
      <c r="B24" s="84" t="n">
        <v>0.004</v>
      </c>
      <c r="C24" s="78" t="n"/>
      <c r="D24" s="71" t="inlineStr">
        <is>
          <t>Pickup from ore-grade decline / waste tonnage.</t>
        </is>
      </c>
    </row>
    <row r="25" ht="15" customHeight="1" s="67">
      <c r="A25" s="71" t="inlineStr">
        <is>
          <t>Industry volume growth (derived)</t>
        </is>
      </c>
      <c r="B25" s="86">
        <f>B23*B19+B24</f>
        <v/>
      </c>
      <c r="C25" s="78" t="inlineStr">
        <is>
          <t>%</t>
        </is>
      </c>
      <c r="D25" s="71" t="inlineStr">
        <is>
          <t>a x mining_real_growth + b</t>
        </is>
      </c>
    </row>
    <row r="26" ht="15" customHeight="1" s="67">
      <c r="A26" s="71" t="inlineStr">
        <is>
          <t>Pricing weight on inflation</t>
        </is>
      </c>
      <c r="B26" s="87" t="n">
        <v>0.7</v>
      </c>
      <c r="C26" s="78" t="n"/>
      <c r="D26" s="71" t="inlineStr">
        <is>
          <t>70% of price tracks DM inflation.</t>
        </is>
      </c>
    </row>
    <row r="27" ht="15" customHeight="1" s="67">
      <c r="A27" s="71" t="inlineStr">
        <is>
          <t>Pricing weight on gas</t>
        </is>
      </c>
      <c r="B27" s="87" t="n">
        <v>0.3</v>
      </c>
      <c r="C27" s="78" t="n"/>
      <c r="D27" s="71" t="inlineStr">
        <is>
          <t>30% of price tracks gas input cost.</t>
        </is>
      </c>
    </row>
    <row r="28" ht="15" customHeight="1" s="67">
      <c r="A28" s="71" t="inlineStr">
        <is>
          <t>Productivity sharing (bps)</t>
        </is>
      </c>
      <c r="B28" s="84" t="n">
        <v>0.005</v>
      </c>
      <c r="C28" s="78" t="inlineStr">
        <is>
          <t>%</t>
        </is>
      </c>
      <c r="D28" s="71" t="inlineStr">
        <is>
          <t>50bps net productivity uplift per year.</t>
        </is>
      </c>
    </row>
    <row r="29" ht="26.85" customHeight="1" s="67">
      <c r="A29" s="71" t="inlineStr">
        <is>
          <t>Industry pricing growth (derived)</t>
        </is>
      </c>
      <c r="B29" s="86">
        <f>B26*B18+B27*B20+B28</f>
        <v/>
      </c>
      <c r="C29" s="78" t="inlineStr">
        <is>
          <t>%</t>
        </is>
      </c>
      <c r="D29" s="71" t="inlineStr">
        <is>
          <t>pricing_weight_inflation x DM_inflation + pricing_weight_gas x gas_growth + productivity_sharing</t>
        </is>
      </c>
    </row>
    <row r="30" ht="15" customHeight="1" s="67">
      <c r="A30" s="71" t="inlineStr">
        <is>
          <t>Industry nominal growth (derived)</t>
        </is>
      </c>
      <c r="B30" s="86">
        <f>(1+B25)*(1+B29)-1</f>
        <v/>
      </c>
      <c r="C30" s="78" t="inlineStr">
        <is>
          <t>%</t>
        </is>
      </c>
      <c r="D30" s="71" t="inlineStr">
        <is>
          <t>(1+vol) x (1+price) - 1</t>
        </is>
      </c>
    </row>
    <row r="32" ht="19.5" customHeight="1" s="67">
      <c r="A32" s="75" t="inlineStr">
        <is>
          <t>DNL COMPANY-POSITION OFFSETS</t>
        </is>
      </c>
      <c r="B32" s="76" t="n"/>
      <c r="C32" s="76" t="n"/>
      <c r="D32" s="76" t="n"/>
    </row>
    <row r="33" ht="26.85" customHeight="1" s="67">
      <c r="A33" s="71" t="inlineStr">
        <is>
          <t>DM weighting (Aus + US)</t>
        </is>
      </c>
      <c r="B33" s="82" t="n">
        <v>0.9</v>
      </c>
      <c r="C33" s="78" t="inlineStr">
        <is>
          <t>%</t>
        </is>
      </c>
      <c r="D33" s="71" t="inlineStr">
        <is>
          <t>DNL geographic mix: ~55% US + ~35% Australia = 90% mature markets.</t>
        </is>
      </c>
    </row>
    <row r="34" ht="15" customHeight="1" s="67">
      <c r="A34" s="71" t="inlineStr">
        <is>
          <t>EM weighting (DNEL: LATAM / EMEA)</t>
        </is>
      </c>
      <c r="B34" s="82" t="n">
        <v>0.1</v>
      </c>
      <c r="C34" s="78" t="inlineStr">
        <is>
          <t>%</t>
        </is>
      </c>
      <c r="D34" s="71" t="inlineStr">
        <is>
          <t>~10% EMEA/LATAM.</t>
        </is>
      </c>
    </row>
    <row r="35" ht="26.85" customHeight="1" s="67">
      <c r="A35" s="71" t="inlineStr">
        <is>
          <t>EM growth premium vs DM (multiplier)</t>
        </is>
      </c>
      <c r="B35" s="85" t="n">
        <v>1.3</v>
      </c>
      <c r="C35" s="78" t="n"/>
      <c r="D35" s="71" t="inlineStr">
        <is>
          <t>EM mining-services markets growing ~30% faster than DM in nominal terms.</t>
        </is>
      </c>
    </row>
    <row r="36" ht="15" customHeight="1" s="67">
      <c r="A36" s="71" t="inlineStr">
        <is>
          <t>Geographic-mix multiplier (derived)</t>
        </is>
      </c>
      <c r="B36" s="88">
        <f>B33+B34*B35</f>
        <v/>
      </c>
      <c r="C36" s="78" t="n"/>
      <c r="D36" s="71" t="inlineStr">
        <is>
          <t>DM weight + EM weight x EM premium.</t>
        </is>
      </c>
    </row>
    <row r="37" ht="39.55" customHeight="1" s="67">
      <c r="A37" s="71" t="inlineStr">
        <is>
          <t xml:space="preserve">  Rivalry: competitive position vs leader</t>
        </is>
      </c>
      <c r="B37" s="84" t="n">
        <v>-0.003</v>
      </c>
      <c r="C37" s="78" t="inlineStr">
        <is>
          <t>%</t>
        </is>
      </c>
      <c r="D37" s="71" t="inlineStr">
        <is>
          <t>Rivalry force (industry: MODERATE). DNL #2 vs Orica #1; scale + tech lead in electronic detonators. -30bps growth/yr at same geographic exposure. Methodology section 3.3.</t>
        </is>
      </c>
    </row>
    <row r="38" ht="26.85" customHeight="1" s="67">
      <c r="A38" s="71" t="inlineStr">
        <is>
          <t xml:space="preserve">  Rivalry: product-mix vs industry average</t>
        </is>
      </c>
      <c r="B38" s="84" t="n">
        <v>-0.001</v>
      </c>
      <c r="C38" s="78" t="inlineStr">
        <is>
          <t>%</t>
        </is>
      </c>
      <c r="D38" s="71" t="inlineStr">
        <is>
          <t>Rivalry force sub-component. DNL more bulk-ANFO weighted; less electronic detonator / software exposure. -10bps growth.</t>
        </is>
      </c>
    </row>
    <row r="39" ht="26.85" customHeight="1" s="67">
      <c r="A39" s="71" t="inlineStr">
        <is>
          <t xml:space="preserve">  New entrants: DNEL pipeline uplift</t>
        </is>
      </c>
      <c r="B39" s="84" t="n">
        <v>0.0015</v>
      </c>
      <c r="C39" s="78" t="inlineStr">
        <is>
          <t>%</t>
        </is>
      </c>
      <c r="D39" s="71" t="inlineStr">
        <is>
          <t>New entrants force (industry: LOW). DNL is itself new entrant in LATAM/Africa via DNEL ramp. Time-limited 3-5 yrs. +15bps growth.</t>
        </is>
      </c>
    </row>
    <row r="40" ht="39.55" customHeight="1" s="67">
      <c r="A40" s="71" t="inlineStr">
        <is>
          <t xml:space="preserve">  Buyer / supplier / substitutes offsets</t>
        </is>
      </c>
      <c r="B40" s="84" t="n">
        <v>0</v>
      </c>
      <c r="C40" s="78" t="inlineStr">
        <is>
          <t>%</t>
        </is>
      </c>
      <c r="D40" s="71" t="inlineStr">
        <is>
          <t>Buyer power: at industry average (same mining-major customer mix). Supplier power: favourable but captured in gas roll-off overlay. Substitutes: at industry average. Net 0.</t>
        </is>
      </c>
    </row>
    <row r="41" ht="15" customHeight="1" s="67">
      <c r="A41" s="71" t="inlineStr">
        <is>
          <t>DNL net company-position offset (derived)</t>
        </is>
      </c>
      <c r="B41" s="86">
        <f>B37+B38+B39+B40</f>
        <v/>
      </c>
      <c r="C41" s="78" t="inlineStr">
        <is>
          <t>%</t>
        </is>
      </c>
      <c r="D41" s="71" t="inlineStr">
        <is>
          <t>Net of Five-Forces-anchored offsets: -30 + -10 + 15 + 0 = -25bps.</t>
        </is>
      </c>
    </row>
    <row r="42" ht="26.85" customHeight="1" s="67">
      <c r="A42" s="71" t="inlineStr">
        <is>
          <t>DNL nominal revenue growth (Muddle Through)</t>
        </is>
      </c>
      <c r="B42" s="86">
        <f>B30*B36+B41</f>
        <v/>
      </c>
      <c r="C42" s="78" t="inlineStr">
        <is>
          <t>%</t>
        </is>
      </c>
      <c r="D42" s="71" t="inlineStr">
        <is>
          <t>industry_nominal x geo_mix_multiplier + net Five-Forces offset. Per methodology section 2 + 3.3.</t>
        </is>
      </c>
    </row>
    <row r="44" ht="19.5" customHeight="1" s="67">
      <c r="A44" s="75" t="inlineStr">
        <is>
          <t>MARGIN GLIDE PATH (transformation overlay, Q2/Q3 reconciled to exit run rate)</t>
        </is>
      </c>
      <c r="B44" s="76" t="n"/>
      <c r="C44" s="76" t="n"/>
      <c r="D44" s="76" t="n"/>
    </row>
    <row r="45" ht="26.85" customHeight="1" s="67">
      <c r="A45" s="71" t="inlineStr">
        <is>
          <t>FY27 transformation delta (Year 1)</t>
        </is>
      </c>
      <c r="B45" s="84" t="n">
        <v>0.006</v>
      </c>
      <c r="C45" s="78" t="inlineStr">
        <is>
          <t>pp</t>
        </is>
      </c>
      <c r="D45" s="71" t="inlineStr">
        <is>
          <t>+60bps reconciles FY27 EBIT to ~AUD 530m (mid-upper of FY26 exit run rate AUD 495-525m per slide 28).</t>
        </is>
      </c>
    </row>
    <row r="46" ht="15" customHeight="1" s="67">
      <c r="A46" s="71" t="inlineStr">
        <is>
          <t>FY28 transformation delta (Year 2 cum)</t>
        </is>
      </c>
      <c r="B46" s="84" t="n">
        <v>0.018</v>
      </c>
      <c r="C46" s="78" t="inlineStr">
        <is>
          <t>pp</t>
        </is>
      </c>
      <c r="D46" s="71" t="inlineStr">
        <is>
          <t>+180bps cumulative aligns FY28 EBIT to AUD 600m ambition.</t>
        </is>
      </c>
    </row>
    <row r="47" ht="15" customHeight="1" s="67">
      <c r="A47" s="71" t="inlineStr">
        <is>
          <t>FY29 transformation delta (Year 3 cum)</t>
        </is>
      </c>
      <c r="B47" s="84" t="n">
        <v>0.02</v>
      </c>
      <c r="C47" s="78" t="inlineStr">
        <is>
          <t>pp</t>
        </is>
      </c>
      <c r="D47" s="71" t="inlineStr">
        <is>
          <t>+200bps cumulative. Final transformation tail.</t>
        </is>
      </c>
    </row>
    <row r="48" ht="15" customHeight="1" s="67">
      <c r="A48" s="71" t="inlineStr">
        <is>
          <t>FY30 transformation delta (Year 4 cum)</t>
        </is>
      </c>
      <c r="B48" s="84" t="n">
        <v>0.02</v>
      </c>
      <c r="C48" s="78" t="inlineStr">
        <is>
          <t>pp</t>
        </is>
      </c>
      <c r="D48" s="71" t="inlineStr">
        <is>
          <t>Steady state.</t>
        </is>
      </c>
    </row>
    <row r="49" ht="15" customHeight="1" s="67">
      <c r="A49" s="71" t="inlineStr">
        <is>
          <t>FY31 transformation delta (Year 5 cum)</t>
        </is>
      </c>
      <c r="B49" s="84" t="n">
        <v>0.02</v>
      </c>
      <c r="C49" s="78" t="inlineStr">
        <is>
          <t>pp</t>
        </is>
      </c>
      <c r="D49" s="71" t="inlineStr">
        <is>
          <t>Steady state.</t>
        </is>
      </c>
    </row>
    <row r="51" ht="19.5" customHeight="1" s="67">
      <c r="A51" s="75" t="inlineStr">
        <is>
          <t>GAS CONTRACT ROLL-OFF OVERLAY (structural headwind, methodology section 3.2.1)</t>
        </is>
      </c>
      <c r="B51" s="76" t="n"/>
      <c r="C51" s="76" t="n"/>
      <c r="D51" s="76" t="n"/>
    </row>
    <row r="52" ht="15" customHeight="1" s="67">
      <c r="A52" s="71" t="inlineStr">
        <is>
          <t>FY27 gas roll-off (Year 1)</t>
        </is>
      </c>
      <c r="B52" s="84" t="n">
        <v>0</v>
      </c>
      <c r="C52" s="78" t="inlineStr">
        <is>
          <t>pp</t>
        </is>
      </c>
      <c r="D52" s="71" t="inlineStr">
        <is>
          <t>Contracts in place.</t>
        </is>
      </c>
    </row>
    <row r="53" ht="15" customHeight="1" s="67">
      <c r="A53" s="71" t="inlineStr">
        <is>
          <t>FY28 gas roll-off (Year 2 cum)</t>
        </is>
      </c>
      <c r="B53" s="84" t="n">
        <v>0</v>
      </c>
      <c r="C53" s="78" t="inlineStr">
        <is>
          <t>pp</t>
        </is>
      </c>
      <c r="D53" s="71" t="inlineStr">
        <is>
          <t>Contracts in place.</t>
        </is>
      </c>
    </row>
    <row r="54" ht="15" customHeight="1" s="67">
      <c r="A54" s="71" t="inlineStr">
        <is>
          <t>FY29 gas roll-off (Year 3 cum)</t>
        </is>
      </c>
      <c r="B54" s="89" t="n">
        <v>-0.005</v>
      </c>
      <c r="C54" s="78" t="inlineStr">
        <is>
          <t>pp</t>
        </is>
      </c>
      <c r="D54" s="71" t="inlineStr">
        <is>
          <t>First tranche rolls off; -50bps cumulative.</t>
        </is>
      </c>
    </row>
    <row r="55" ht="15" customHeight="1" s="67">
      <c r="A55" s="71" t="inlineStr">
        <is>
          <t>FY30 gas roll-off (Year 4 cum)</t>
        </is>
      </c>
      <c r="B55" s="84" t="n">
        <v>-0.01</v>
      </c>
      <c r="C55" s="78" t="inlineStr">
        <is>
          <t>pp</t>
        </is>
      </c>
      <c r="D55" s="71" t="inlineStr">
        <is>
          <t>Further tranche; -100bps cumulative.</t>
        </is>
      </c>
    </row>
    <row r="56" ht="15" customHeight="1" s="67">
      <c r="A56" s="71" t="inlineStr">
        <is>
          <t>FY31 gas roll-off (Year 5 cum)</t>
        </is>
      </c>
      <c r="B56" s="89" t="n">
        <v>-0.015</v>
      </c>
      <c r="C56" s="78" t="inlineStr">
        <is>
          <t>pp</t>
        </is>
      </c>
      <c r="D56" s="71" t="inlineStr">
        <is>
          <t>Majority at spot; -150bps cumulative.</t>
        </is>
      </c>
    </row>
    <row r="58" ht="19.5" customHeight="1" s="67">
      <c r="A58" s="75" t="inlineStr">
        <is>
          <t>TAX RATE GLIDE (effective in explicit -&gt; blended statutory in terminal)</t>
        </is>
      </c>
      <c r="B58" s="76" t="n"/>
      <c r="C58" s="76" t="n"/>
      <c r="D58" s="76" t="n"/>
    </row>
    <row r="59" ht="15" customHeight="1" s="67">
      <c r="A59" s="71" t="inlineStr">
        <is>
          <t>FY26 effective tax rate (base)</t>
        </is>
      </c>
      <c r="B59" s="81" t="n">
        <v>0.225</v>
      </c>
      <c r="C59" s="78" t="inlineStr">
        <is>
          <t>%</t>
        </is>
      </c>
      <c r="D59" s="71" t="inlineStr">
        <is>
          <t>Per FY26 guidance midpoint (20-25%). Used for stub period.</t>
        </is>
      </c>
    </row>
    <row r="60" ht="39.55" customHeight="1" s="67">
      <c r="A60" s="71" t="inlineStr">
        <is>
          <t>Blended statutory rate (terminal)</t>
        </is>
      </c>
      <c r="B60" s="81" t="n">
        <v>0.275</v>
      </c>
      <c r="C60" s="78" t="inlineStr">
        <is>
          <t>%</t>
        </is>
      </c>
      <c r="D60" s="71" t="inlineStr">
        <is>
          <t>Computed from Tax Bridge tab: jurisdictional revenue weights x statutory rates. Captures structural US-mix advantage (persistent ~2.5pp gap to AU statutory). Override via Tax Bridge.</t>
        </is>
      </c>
    </row>
    <row r="61" ht="26.85" customHeight="1" s="67">
      <c r="A61" s="71" t="inlineStr">
        <is>
          <t>FY27 applied tax rate (Year 1)</t>
        </is>
      </c>
      <c r="B61" s="90">
        <f>B59</f>
        <v/>
      </c>
      <c r="C61" s="78" t="inlineStr">
        <is>
          <t>%</t>
        </is>
      </c>
      <c r="D61" s="71" t="inlineStr">
        <is>
          <t>Y1 stays at effective rate (matches management guidance for first forecast year).</t>
        </is>
      </c>
    </row>
    <row r="62" ht="15" customHeight="1" s="67">
      <c r="A62" s="71" t="inlineStr">
        <is>
          <t>FY28 applied tax rate (Year 2)</t>
        </is>
      </c>
      <c r="B62" s="90">
        <f>B59+(B60-B59)*1/4</f>
        <v/>
      </c>
      <c r="C62" s="78" t="inlineStr">
        <is>
          <t>%</t>
        </is>
      </c>
      <c r="D62" s="71" t="inlineStr">
        <is>
          <t>Linear glide Y2 onwards.</t>
        </is>
      </c>
    </row>
    <row r="63" ht="15" customHeight="1" s="67">
      <c r="A63" s="71" t="inlineStr">
        <is>
          <t>FY29 applied tax rate (Year 3)</t>
        </is>
      </c>
      <c r="B63" s="90">
        <f>B59+(B60-B59)*2/4</f>
        <v/>
      </c>
      <c r="C63" s="78" t="inlineStr">
        <is>
          <t>%</t>
        </is>
      </c>
      <c r="D63" s="71" t="n"/>
    </row>
    <row r="64" ht="15" customHeight="1" s="67">
      <c r="A64" s="71" t="inlineStr">
        <is>
          <t>FY30 applied tax rate (Year 4)</t>
        </is>
      </c>
      <c r="B64" s="90">
        <f>B59+(B60-B59)*3/4</f>
        <v/>
      </c>
      <c r="C64" s="78" t="inlineStr">
        <is>
          <t>%</t>
        </is>
      </c>
      <c r="D64" s="71" t="n"/>
    </row>
    <row r="65" ht="15" customHeight="1" s="67">
      <c r="A65" s="71" t="inlineStr">
        <is>
          <t>FY31 applied tax rate (Year 5)</t>
        </is>
      </c>
      <c r="B65" s="90">
        <f>B60</f>
        <v/>
      </c>
      <c r="C65" s="78" t="inlineStr">
        <is>
          <t>%</t>
        </is>
      </c>
      <c r="D65" s="71" t="inlineStr">
        <is>
          <t>Terminal rate.</t>
        </is>
      </c>
    </row>
    <row r="66" ht="39.55" customHeight="1" s="67">
      <c r="A66" s="71" t="inlineStr">
        <is>
          <t>Tax rate for WACC (consistency: blended statutory)</t>
        </is>
      </c>
      <c r="B66" s="90">
        <f>B60</f>
        <v/>
      </c>
      <c r="C66" s="78" t="inlineStr">
        <is>
          <t>%</t>
        </is>
      </c>
      <c r="D66" s="71" t="inlineStr">
        <is>
          <t>Per consistency principle: same rate used for terminal operating tax, Hamada re-levering of beta, and cost-of-debt tax shield. Linked to Blended statutory rate above. Was 30% in earlier draft; corrected.</t>
        </is>
      </c>
    </row>
    <row r="68" ht="19.5" customHeight="1" s="67">
      <c r="A68" s="75" t="inlineStr">
        <is>
          <t>WACC COMPONENT BUILD-UP (single discipline; Hamada, world-index beta)</t>
        </is>
      </c>
      <c r="B68" s="76" t="n"/>
      <c r="C68" s="76" t="n"/>
      <c r="D68" s="76" t="n"/>
    </row>
    <row r="69" ht="39.55" customHeight="1" s="67">
      <c r="A69" s="71" t="inlineStr">
        <is>
          <t>Risk-free rate (Rf)</t>
        </is>
      </c>
      <c r="B69" s="89" t="n">
        <v>0.043</v>
      </c>
      <c r="C69" s="78" t="inlineStr">
        <is>
          <t>%</t>
        </is>
      </c>
      <c r="D69" s="71" t="inlineStr">
        <is>
          <t>10-year on-the-run Commonwealth of Australia government bond yield (coupon-bearing), May 2026. Convention: on-the-run YTM, not zero-coupon. Bloomberg ticker GACGB10 or RBA series.</t>
        </is>
      </c>
    </row>
    <row r="70" ht="26.85" customHeight="1" s="67">
      <c r="A70" s="71" t="inlineStr">
        <is>
          <t>Equity risk premium (ERP)</t>
        </is>
      </c>
      <c r="B70" s="89" t="n">
        <v>0.05</v>
      </c>
      <c r="C70" s="78" t="inlineStr">
        <is>
          <t>%</t>
        </is>
      </c>
      <c r="D70" s="71" t="inlineStr">
        <is>
          <t>Damodaran mature-Australia ERP. Convention: published mature-Australia rate refreshed at valuation date.</t>
        </is>
      </c>
    </row>
    <row r="71" ht="90.25" customHeight="1" s="67">
      <c r="A71" s="71" t="inlineStr">
        <is>
          <t>Beta (world-index basis, re-levered)</t>
        </is>
      </c>
      <c r="B71" s="91" t="n">
        <v>0.95</v>
      </c>
      <c r="C71" s="78" t="n"/>
      <c r="D71" s="71" t="inlineStr">
        <is>
          <t>Convention (per WACC (ii) discussion): for companies with &gt;30% non-Australian revenue, regress against AUD-denominated MSCI World Index. DNL ~55% US revenue + 35% AU. World-index unlevered beta for industrial explosives ~0.83; re-levered via Hamada with D/E 0.197 and tax shield rate = blended statutory ~27.5% gives ~0.95. ASX200-based beta would be ~1.05-1.10 (shown as sensitivity).</t>
        </is>
      </c>
    </row>
    <row r="72" ht="15" customHeight="1" s="67">
      <c r="A72" s="71" t="inlineStr">
        <is>
          <t>Cost of debt (pre-tax)</t>
        </is>
      </c>
      <c r="B72" s="84" t="n">
        <v>0.06</v>
      </c>
      <c r="C72" s="78" t="inlineStr">
        <is>
          <t>%</t>
        </is>
      </c>
      <c r="D72" s="71" t="inlineStr">
        <is>
          <t>AUD BBB-tier spread ~170bps over 10Y sovereign.</t>
        </is>
      </c>
    </row>
    <row r="73" ht="15" customHeight="1" s="67">
      <c r="A73" s="71" t="inlineStr">
        <is>
          <t>Equity market value (E)</t>
        </is>
      </c>
      <c r="B73" s="83" t="n">
        <v>6390</v>
      </c>
      <c r="C73" s="78" t="inlineStr">
        <is>
          <t>AUD m</t>
        </is>
      </c>
      <c r="D73" s="71" t="inlineStr">
        <is>
          <t>AUD 6,390.4m at 21 May 2026.</t>
        </is>
      </c>
    </row>
    <row r="74" ht="15" customHeight="1" s="67">
      <c r="A74" s="71" t="inlineStr">
        <is>
          <t>Debt market value (D)</t>
        </is>
      </c>
      <c r="B74" s="83" t="n">
        <v>1260.8</v>
      </c>
      <c r="C74" s="78" t="inlineStr">
        <is>
          <t>AUD m</t>
        </is>
      </c>
      <c r="D74" s="71" t="inlineStr">
        <is>
          <t>Reported net debt 31 Mar 2026.</t>
        </is>
      </c>
    </row>
    <row r="76" ht="19.5" customHeight="1" s="67">
      <c r="A76" s="75" t="inlineStr">
        <is>
          <t>TERMINAL-STATE ASSUMPTIONS</t>
        </is>
      </c>
      <c r="B76" s="76" t="n"/>
      <c r="C76" s="76" t="n"/>
      <c r="D76" s="76" t="n"/>
    </row>
    <row r="77" ht="15" customHeight="1" s="67">
      <c r="A77" s="71" t="inlineStr">
        <is>
          <t>Terminal growth rate</t>
        </is>
      </c>
      <c r="B77" s="81" t="n">
        <v>0.025</v>
      </c>
      <c r="C77" s="78" t="inlineStr">
        <is>
          <t>%</t>
        </is>
      </c>
      <c r="D77" s="71" t="inlineStr">
        <is>
          <t>GDP-adjacent Australian long-run nominal.</t>
        </is>
      </c>
    </row>
    <row r="78" ht="15" customHeight="1" s="67">
      <c r="A78" s="71" t="inlineStr">
        <is>
          <t>Horizon (explicit years)</t>
        </is>
      </c>
      <c r="B78" s="92" t="n">
        <v>5</v>
      </c>
      <c r="C78" s="78" t="inlineStr">
        <is>
          <t>yrs</t>
        </is>
      </c>
      <c r="D78" s="71" t="inlineStr">
        <is>
          <t>Phase 3.5 setting.</t>
        </is>
      </c>
    </row>
    <row r="80" ht="19.5" customHeight="1" s="67">
      <c r="A80" s="75" t="inlineStr">
        <is>
          <t>SHARE COUNT (per Q8 — single anchor, no buyback projection)</t>
        </is>
      </c>
      <c r="B80" s="76" t="n"/>
      <c r="C80" s="76" t="n"/>
      <c r="D80" s="76" t="n"/>
    </row>
    <row r="81" ht="64.90000000000001" customHeight="1" s="67">
      <c r="A81" s="71" t="inlineStr">
        <is>
          <t>Shares outstanding (period-end H1 FY26)</t>
        </is>
      </c>
      <c r="B81" s="80" t="n">
        <v>1770</v>
      </c>
      <c r="C81" s="78" t="inlineStr">
        <is>
          <t>m</t>
        </is>
      </c>
      <c r="D81" s="71" t="inlineStr">
        <is>
          <t>Back-solved from H1 NPAT ex IMIs AUD 161m / EPS ex IMIs 9.0cps = 1,789m weighted avg, less ~half H1 buyback of 38m shares = ~1,770m at 31 Mar 2026. Anchor-date paired to net debt. No Period A buyback adjustment per methodology section 5.2 (on-market buyback at fair value is value-neutral).</t>
        </is>
      </c>
    </row>
    <row r="83" ht="19.5" customHeight="1" s="67">
      <c r="A83" s="75" t="inlineStr">
        <is>
          <t>PERIOD A WALK (anchor -&gt; valuation date; Q6/Q8 corrections)</t>
        </is>
      </c>
      <c r="B83" s="76" t="n"/>
      <c r="C83" s="76" t="n"/>
      <c r="D83" s="76" t="n"/>
    </row>
    <row r="84" ht="15" customHeight="1" s="67">
      <c r="A84" s="71" t="inlineStr">
        <is>
          <t>Days in Period A</t>
        </is>
      </c>
      <c r="B84" s="92" t="n">
        <v>55</v>
      </c>
      <c r="C84" s="78" t="inlineStr">
        <is>
          <t>days</t>
        </is>
      </c>
      <c r="D84" s="71" t="inlineStr">
        <is>
          <t>31 March -&gt; 25 May.</t>
        </is>
      </c>
    </row>
    <row r="85" ht="15" customHeight="1" s="67">
      <c r="A85" s="71" t="inlineStr">
        <is>
          <t>Period A in years</t>
        </is>
      </c>
      <c r="B85" s="88">
        <f>B84/365</f>
        <v/>
      </c>
      <c r="C85" s="78" t="inlineStr">
        <is>
          <t>yrs</t>
        </is>
      </c>
      <c r="D85" s="71" t="inlineStr">
        <is>
          <t>55/365.</t>
        </is>
      </c>
    </row>
    <row r="86" ht="52.2" customHeight="1" s="67">
      <c r="A86" s="71" t="inlineStr">
        <is>
          <t>Underlying OCF run rate (AUD m / yr)</t>
        </is>
      </c>
      <c r="B86" s="80" t="n">
        <v>500</v>
      </c>
      <c r="C86" s="78" t="inlineStr">
        <is>
          <t>AUD m / yr</t>
        </is>
      </c>
      <c r="D86" s="71" t="inlineStr">
        <is>
          <t>Q6 correction: H1 OCF AUD 145m grossed up for one-off TWC unwind of AUD 111m -&gt; annualised ~AUD 500m (vs AUD 290m simple-double in v3). EBITDA continuing ops ex IMIs at H1 was AUD 359m, supporting AUD 500m+ underlying OCF.</t>
        </is>
      </c>
    </row>
    <row r="87" ht="15" customHeight="1" s="67">
      <c r="A87" s="71" t="inlineStr">
        <is>
          <t>Capex run rate (AUD m / yr)</t>
        </is>
      </c>
      <c r="B87" s="83" t="n">
        <v>256</v>
      </c>
      <c r="C87" s="78" t="inlineStr">
        <is>
          <t>AUD m / yr</t>
        </is>
      </c>
      <c r="D87" s="71" t="inlineStr">
        <is>
          <t>H1 AUD 128m continuing-ops capex x 2.</t>
        </is>
      </c>
    </row>
    <row r="89" ht="19.5" customHeight="1" s="67">
      <c r="A89" s="75" t="inlineStr">
        <is>
          <t>EQUITY-BRIDGE ADJUSTMENTS (Q7 — full Fertilisers separation map per slide 29)</t>
        </is>
      </c>
      <c r="B89" s="76" t="n"/>
      <c r="C89" s="76" t="n"/>
      <c r="D89" s="76" t="n"/>
    </row>
    <row r="90" ht="26.85" customHeight="1" s="67">
      <c r="A90" s="71" t="inlineStr">
        <is>
          <t>Declared unpaid dividend (interim, 11 May 2026)</t>
        </is>
      </c>
      <c r="B90" s="80" t="n">
        <v>81.40000000000001</v>
      </c>
      <c r="C90" s="78" t="inlineStr">
        <is>
          <t>AUD m</t>
        </is>
      </c>
      <c r="D90" s="71" t="inlineStr">
        <is>
          <t>4.6cps x 1,770m shares. Declared post-anchor; not in 31 Mar net debt.</t>
        </is>
      </c>
    </row>
    <row r="91" ht="26.85" customHeight="1" s="67">
      <c r="A91" s="71" t="inlineStr">
        <is>
          <t>Phosphate Hill ARO commitment</t>
        </is>
      </c>
      <c r="B91" s="83" t="n">
        <v>126</v>
      </c>
      <c r="C91" s="78" t="inlineStr">
        <is>
          <t>AUD m</t>
        </is>
      </c>
      <c r="D91" s="71" t="inlineStr">
        <is>
          <t>Slide 29: ARO funding for Phosphate Hill at sale completion (Q3 FY26).</t>
        </is>
      </c>
    </row>
    <row r="92" ht="15" customHeight="1" s="67">
      <c r="A92" s="71" t="inlineStr">
        <is>
          <t>Phosphate Hill ARO provided at anchor</t>
        </is>
      </c>
      <c r="B92" s="83" t="n">
        <v>82</v>
      </c>
      <c r="C92" s="78" t="inlineStr">
        <is>
          <t>AUD m</t>
        </is>
      </c>
      <c r="D92" s="71" t="inlineStr">
        <is>
          <t>Reclassified to Held for Sale per H1 announcement.</t>
        </is>
      </c>
    </row>
    <row r="93" ht="15" customHeight="1" s="67">
      <c r="A93" s="71" t="inlineStr">
        <is>
          <t>Phosphate Hill ARO net add-back</t>
        </is>
      </c>
      <c r="B93" s="93">
        <f>B91-B92</f>
        <v/>
      </c>
      <c r="C93" s="78" t="inlineStr">
        <is>
          <t>AUD m</t>
        </is>
      </c>
      <c r="D93" s="71" t="inlineStr">
        <is>
          <t>Net cash cost not already on BS.</t>
        </is>
      </c>
    </row>
    <row r="94" ht="26.85" customHeight="1" s="67">
      <c r="A94" s="71" t="inlineStr">
        <is>
          <t>Phosphate Hill inventory commitment (slide 29)</t>
        </is>
      </c>
      <c r="B94" s="80" t="n">
        <v>80</v>
      </c>
      <c r="C94" s="78" t="inlineStr">
        <is>
          <t>AUD m</t>
        </is>
      </c>
      <c r="D94" s="71" t="inlineStr">
        <is>
          <t>Slide 29: ~AUD 80m worth of inventory to be supplied to Mayfair on completion.</t>
        </is>
      </c>
    </row>
    <row r="95" ht="26.85" customHeight="1" s="67">
      <c r="A95" s="71" t="inlineStr">
        <is>
          <t>Restructure execution cash cost</t>
        </is>
      </c>
      <c r="B95" s="83" t="n">
        <v>12</v>
      </c>
      <c r="C95" s="78" t="inlineStr">
        <is>
          <t>AUD m</t>
        </is>
      </c>
      <c r="D95" s="71" t="inlineStr">
        <is>
          <t>Remaining transformation cash costs over ~18 months. Methodology section 4.4 consistency rule.</t>
        </is>
      </c>
    </row>
    <row r="96" ht="39.55" customHeight="1" s="67">
      <c r="A96" s="71" t="inlineStr">
        <is>
          <t>Geelong remediation (NEW)</t>
        </is>
      </c>
      <c r="B96" s="83" t="n">
        <v>35</v>
      </c>
      <c r="C96" s="78" t="inlineStr">
        <is>
          <t>AUD m</t>
        </is>
      </c>
      <c r="D96" s="71" t="inlineStr">
        <is>
          <t>Slide 29: AUD 61m pre-tax remediation (AUD 43m post-tax); shown here at AUD 35m post-tax net of ~AUD 12m already paid. Completion within 2 years of Sep 2025.</t>
        </is>
      </c>
    </row>
    <row r="97" ht="39.55" customHeight="1" s="67">
      <c r="A97" s="71" t="inlineStr">
        <is>
          <t>Gibson Island remediation + leaseback (NEW)</t>
        </is>
      </c>
      <c r="B97" s="83" t="n">
        <v>97</v>
      </c>
      <c r="C97" s="78" t="inlineStr">
        <is>
          <t>AUD m</t>
        </is>
      </c>
      <c r="D97" s="71" t="inlineStr">
        <is>
          <t>Slide 29: AUD 157m pre-tax (AUD 110m post-tax); ~AUD 18m pre-tax paid to end H1; remaining ~AUD 97m post-tax net. Completion within ~3.5 years of Oct 2025.</t>
        </is>
      </c>
    </row>
    <row r="98" ht="26.85" customHeight="1" s="67">
      <c r="A98" s="71" t="inlineStr">
        <is>
          <t>Transaction costs (NEW)</t>
        </is>
      </c>
      <c r="B98" s="83" t="n">
        <v>11</v>
      </c>
      <c r="C98" s="78" t="inlineStr">
        <is>
          <t>AUD m</t>
        </is>
      </c>
      <c r="D98" s="71" t="inlineStr">
        <is>
          <t>Slide 29: outstanding selling, transaction and separation costs across Fertilisers transactions.</t>
        </is>
      </c>
    </row>
    <row r="99" ht="26.85" customHeight="1" s="67">
      <c r="A99" s="71" t="inlineStr">
        <is>
          <t>Perdaman contingent (face)</t>
        </is>
      </c>
      <c r="B99" s="83" t="n">
        <v>145</v>
      </c>
      <c r="C99" s="78" t="inlineStr">
        <is>
          <t>AUD m</t>
        </is>
      </c>
      <c r="D99" s="71" t="inlineStr">
        <is>
          <t>Slide 29: up to AUD 145m on operational milestones; production start expected 2027.</t>
        </is>
      </c>
    </row>
    <row r="100" ht="15" customHeight="1" s="67">
      <c r="A100" s="71" t="inlineStr">
        <is>
          <t>Perdaman probability</t>
        </is>
      </c>
      <c r="B100" s="82" t="n">
        <v>0.5</v>
      </c>
      <c r="C100" s="78" t="inlineStr">
        <is>
          <t>%</t>
        </is>
      </c>
      <c r="D100" s="71" t="inlineStr">
        <is>
          <t>Central estimate; project execution + milestone gates.</t>
        </is>
      </c>
    </row>
    <row r="101" ht="15" customHeight="1" s="67">
      <c r="A101" s="71" t="inlineStr">
        <is>
          <t>Perdaman expected value</t>
        </is>
      </c>
      <c r="B101" s="93">
        <f>B99*B100</f>
        <v/>
      </c>
      <c r="C101" s="78" t="inlineStr">
        <is>
          <t>AUD m</t>
        </is>
      </c>
      <c r="D101" s="71" t="inlineStr">
        <is>
          <t>Face x probability.</t>
        </is>
      </c>
    </row>
    <row r="102" ht="26.85" customHeight="1" s="67">
      <c r="A102" s="71" t="inlineStr">
        <is>
          <t>IPF Distribution deferred (NEW, face)</t>
        </is>
      </c>
      <c r="B102" s="83" t="n">
        <v>125</v>
      </c>
      <c r="C102" s="78" t="inlineStr">
        <is>
          <t>AUD m</t>
        </is>
      </c>
      <c r="D102" s="71" t="inlineStr">
        <is>
          <t>Slide 29: AUD 50m vendor note (3 yrs) + AUD 75m Geelong property deferred (2 yrs).</t>
        </is>
      </c>
    </row>
    <row r="103" ht="26.85" customHeight="1" s="67">
      <c r="A103" s="71" t="inlineStr">
        <is>
          <t>IPF Distribution probability</t>
        </is>
      </c>
      <c r="B103" s="82" t="n">
        <v>0.85</v>
      </c>
      <c r="C103" s="78" t="inlineStr">
        <is>
          <t>%</t>
        </is>
      </c>
      <c r="D103" s="71" t="inlineStr">
        <is>
          <t>High probability — both items have known counterparties and reasonable contract terms.</t>
        </is>
      </c>
    </row>
    <row r="104" ht="15" customHeight="1" s="67">
      <c r="A104" s="71" t="inlineStr">
        <is>
          <t>IPF Distribution expected value</t>
        </is>
      </c>
      <c r="B104" s="93">
        <f>B102*B103</f>
        <v/>
      </c>
      <c r="C104" s="78" t="inlineStr">
        <is>
          <t>AUD m</t>
        </is>
      </c>
      <c r="D104" s="71" t="inlineStr">
        <is>
          <t>Face x probability.</t>
        </is>
      </c>
    </row>
    <row r="105" ht="26.85" customHeight="1" s="67">
      <c r="A105" s="71" t="inlineStr">
        <is>
          <t>Phosphate Hill contingent (NEW, face)</t>
        </is>
      </c>
      <c r="B105" s="83" t="n">
        <v>100</v>
      </c>
      <c r="C105" s="78" t="inlineStr">
        <is>
          <t>AUD m</t>
        </is>
      </c>
      <c r="D105" s="71" t="inlineStr">
        <is>
          <t>Slide 29: up to AUD 100m subject to performance hurdles; long-dated; uncertain.</t>
        </is>
      </c>
    </row>
    <row r="106" ht="15" customHeight="1" s="67">
      <c r="A106" s="71" t="inlineStr">
        <is>
          <t>Phosphate Hill contingent probability</t>
        </is>
      </c>
      <c r="B106" s="82" t="n">
        <v>0.3</v>
      </c>
      <c r="C106" s="78" t="inlineStr">
        <is>
          <t>%</t>
        </is>
      </c>
      <c r="D106" s="71" t="inlineStr">
        <is>
          <t>Lower probability — performance-conditional, long-dated, uncertain.</t>
        </is>
      </c>
    </row>
    <row r="107" ht="15" customHeight="1" s="67">
      <c r="A107" s="71" t="inlineStr">
        <is>
          <t>Phosphate Hill contingent expected value</t>
        </is>
      </c>
      <c r="B107" s="93">
        <f>B105*B106</f>
        <v/>
      </c>
      <c r="C107" s="78" t="inlineStr">
        <is>
          <t>AUD m</t>
        </is>
      </c>
      <c r="D107" s="71" t="inlineStr">
        <is>
          <t>Face x probability.</t>
        </is>
      </c>
    </row>
    <row r="109" ht="19.5" customHeight="1" s="67">
      <c r="A109" s="75" t="inlineStr">
        <is>
          <t>MARKET REFERENCE</t>
        </is>
      </c>
      <c r="B109" s="76" t="n"/>
      <c r="C109" s="76" t="n"/>
      <c r="D109" s="76" t="n"/>
    </row>
    <row r="110" ht="15" customHeight="1" s="67">
      <c r="A110" s="71" t="inlineStr">
        <is>
          <t>Share price (21 May 2026)</t>
        </is>
      </c>
      <c r="B110" s="94" t="n">
        <v>3.61</v>
      </c>
      <c r="C110" s="78" t="inlineStr">
        <is>
          <t>AUD/sh</t>
        </is>
      </c>
      <c r="D110" s="71" t="inlineStr">
        <is>
          <t>ASX close.</t>
        </is>
      </c>
    </row>
    <row r="111" ht="15" customHeight="1" s="67">
      <c r="A111" s="71" t="inlineStr">
        <is>
          <t>Wall Street consensus target</t>
        </is>
      </c>
      <c r="B111" s="94" t="n">
        <v>3.61</v>
      </c>
      <c r="C111" s="78" t="inlineStr">
        <is>
          <t>AUD/sh</t>
        </is>
      </c>
      <c r="D111" s="71" t="inlineStr">
        <is>
          <t>EODHD analyst summary.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4" customWidth="1" style="66" min="2" max="4"/>
    <col width="65" customWidth="1" style="66" min="5" max="5"/>
  </cols>
  <sheetData>
    <row r="1" ht="16.15" customHeight="1" s="67">
      <c r="A1" s="95" t="inlineStr">
        <is>
          <t>DNL Tax Rate Bridge — explicit effective glides to blended statutory in terminal</t>
        </is>
      </c>
    </row>
    <row r="3" ht="15" customHeight="1" s="67">
      <c r="A3" s="73" t="inlineStr">
        <is>
          <t>JURISDICTIONAL BLENDED STATUTORY RATE</t>
        </is>
      </c>
      <c r="B3" s="76" t="n"/>
      <c r="C3" s="76" t="n"/>
      <c r="D3" s="76" t="n"/>
      <c r="E3" s="76" t="n"/>
    </row>
    <row r="4" ht="15" customHeight="1" s="67">
      <c r="A4" s="73" t="inlineStr">
        <is>
          <t>Jurisdiction</t>
        </is>
      </c>
      <c r="B4" s="74" t="inlineStr">
        <is>
          <t>Revenue weight</t>
        </is>
      </c>
      <c r="C4" s="74" t="inlineStr">
        <is>
          <t>Statutory rate</t>
        </is>
      </c>
      <c r="D4" s="74" t="inlineStr">
        <is>
          <t>Contribution</t>
        </is>
      </c>
      <c r="E4" s="74" t="inlineStr">
        <is>
          <t>Source / rationale</t>
        </is>
      </c>
    </row>
    <row r="5" ht="15" customHeight="1" s="67">
      <c r="A5" s="96" t="inlineStr">
        <is>
          <t>Dyno Nobel Americas (US)</t>
        </is>
      </c>
      <c r="B5" s="97" t="n">
        <v>0.55</v>
      </c>
      <c r="C5" s="97" t="n">
        <v>0.26</v>
      </c>
      <c r="D5" s="98">
        <f>B5*C5</f>
        <v/>
      </c>
    </row>
    <row r="6" ht="15" customHeight="1" s="67">
      <c r="A6" s="96" t="inlineStr">
        <is>
          <t>Dyno Nobel Asia Pacific (Australia)</t>
        </is>
      </c>
      <c r="B6" s="97" t="n">
        <v>0.35</v>
      </c>
      <c r="C6" s="97" t="n">
        <v>0.3</v>
      </c>
      <c r="D6" s="98">
        <f>B6*C6</f>
        <v/>
      </c>
    </row>
    <row r="7" ht="15" customHeight="1" s="67">
      <c r="A7" s="96" t="inlineStr">
        <is>
          <t>Dyno Nobel EMEA &amp; LATAM</t>
        </is>
      </c>
      <c r="B7" s="97" t="n">
        <v>0.1</v>
      </c>
      <c r="C7" s="97" t="n">
        <v>0.27</v>
      </c>
      <c r="D7" s="98">
        <f>B7*C7</f>
        <v/>
      </c>
    </row>
    <row r="8" ht="39.55" customHeight="1" s="67">
      <c r="A8" s="70" t="inlineStr">
        <is>
          <t>Blended statutory rate</t>
        </is>
      </c>
      <c r="B8" s="99">
        <f>SUM(B5:B7)</f>
        <v/>
      </c>
      <c r="D8" s="100">
        <f>SUM(D5:D7)</f>
        <v/>
      </c>
      <c r="E8" s="71" t="inlineStr">
        <is>
          <t>Used as terminal-year tax rate; per Tara's framing, structural geographic-mix advantage persists in perpetuity at ~27.5% (vs 30% AU statutory).</t>
        </is>
      </c>
    </row>
    <row r="10" ht="15" customHeight="1" s="67">
      <c r="A10" s="73" t="inlineStr">
        <is>
          <t>TAX RATE GLIDE PATH (explicit period)</t>
        </is>
      </c>
      <c r="B10" s="76" t="n"/>
      <c r="C10" s="76" t="n"/>
      <c r="D10" s="76" t="n"/>
      <c r="E10" s="76" t="n"/>
    </row>
    <row r="11" ht="15" customHeight="1" s="67">
      <c r="A11" s="73" t="inlineStr">
        <is>
          <t>Year</t>
        </is>
      </c>
      <c r="B11" s="74" t="inlineStr">
        <is>
          <t>Rate</t>
        </is>
      </c>
      <c r="C11" s="74" t="n"/>
      <c r="D11" s="74" t="n"/>
      <c r="E11" s="74" t="inlineStr">
        <is>
          <t>Glide interpolation</t>
        </is>
      </c>
    </row>
    <row r="12" ht="15" customHeight="1" s="67">
      <c r="A12" s="96" t="inlineStr">
        <is>
          <t>FY27 (Y1)</t>
        </is>
      </c>
      <c r="B12" s="101">
        <f>Assumptions!$B$59+(D8-Assumptions!$B$59)*0/4</f>
        <v/>
      </c>
      <c r="C12" s="96" t="n"/>
      <c r="D12" s="96" t="n"/>
      <c r="E12" s="71" t="inlineStr">
        <is>
          <t>Effective rate held in Y1.</t>
        </is>
      </c>
    </row>
    <row r="13" ht="15" customHeight="1" s="67">
      <c r="A13" s="96" t="inlineStr">
        <is>
          <t>FY28 (Y2)</t>
        </is>
      </c>
      <c r="B13" s="101">
        <f>Assumptions!$B$59+(D8-Assumptions!$B$59)*1/4</f>
        <v/>
      </c>
      <c r="E13" s="71" t="inlineStr">
        <is>
          <t>1/4 of the gap closed.</t>
        </is>
      </c>
    </row>
    <row r="14" ht="15" customHeight="1" s="67">
      <c r="A14" s="96" t="inlineStr">
        <is>
          <t>FY29 (Y3)</t>
        </is>
      </c>
      <c r="B14" s="101">
        <f>Assumptions!$B$59+(D8-Assumptions!$B$59)*2/4</f>
        <v/>
      </c>
      <c r="E14" s="71" t="inlineStr">
        <is>
          <t>1/2 of the gap closed.</t>
        </is>
      </c>
    </row>
    <row r="15" ht="15" customHeight="1" s="67">
      <c r="A15" s="96" t="inlineStr">
        <is>
          <t>FY30 (Y4)</t>
        </is>
      </c>
      <c r="B15" s="101">
        <f>Assumptions!$B$59+(D8-Assumptions!$B$59)*3/4</f>
        <v/>
      </c>
      <c r="E15" s="71" t="inlineStr">
        <is>
          <t>3/4 of the gap closed.</t>
        </is>
      </c>
    </row>
    <row r="16" ht="15" customHeight="1" s="67">
      <c r="A16" s="96" t="inlineStr">
        <is>
          <t>FY31 (Y5) + Terminal</t>
        </is>
      </c>
      <c r="B16" s="100">
        <f>Assumptions!$B$59+(D8-Assumptions!$B$59)*4/4</f>
        <v/>
      </c>
      <c r="E16" s="71" t="inlineStr">
        <is>
          <t>Blended statutory rate reached.</t>
        </is>
      </c>
    </row>
    <row r="18" ht="15" customHeight="1" s="67">
      <c r="A18" s="73" t="inlineStr">
        <is>
          <t>RATIONALE (per Tara's framing 29 May 2026)</t>
        </is>
      </c>
      <c r="B18" s="76" t="n"/>
      <c r="C18" s="76" t="n"/>
      <c r="D18" s="76" t="n"/>
      <c r="E18" s="76" t="n"/>
    </row>
    <row r="19" ht="90" customHeight="1" s="67">
      <c r="A19" s="71" t="inlineStr">
        <is>
          <t>Effective rate (FY26 22.5% per management guidance) is volatile and captures everything — geographic mix, timing differences, R&amp;D credits, JV income treatment, true-ups. Blended statutory rate (~27.5% per the jurisdictional weights above) is structural — captures only the persistent geographic-mix advantage and is what we expect in perpetuity. The 5pp gap closes over the explicit horizon as transient benefits compress (R&amp;D, timing, JV) while the structural ~2.5pp US-mix advantage persists. All inputs above are user-overridable: change a revenue weight, a statutory rate, or the effective base rate, and the glide reflows.</t>
        </is>
      </c>
    </row>
  </sheetData>
  <mergeCells count="2">
    <mergeCell ref="A1:E1"/>
    <mergeCell ref="A19:E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66" min="1" max="1"/>
    <col width="13" customWidth="1" style="66" min="2" max="5"/>
    <col width="2" customWidth="1" style="66" min="6" max="6"/>
    <col width="13" customWidth="1" style="66" min="7" max="11"/>
    <col width="40" customWidth="1" style="66" min="12" max="12"/>
  </cols>
  <sheetData>
    <row r="1" ht="16.15" customHeight="1" s="67">
      <c r="A1" s="95" t="inlineStr">
        <is>
          <t>DNL P&amp;L — historicals + Muddle Through 5-year forecast (continuing ops, AUD m)</t>
        </is>
      </c>
    </row>
    <row r="3" ht="19.5" customHeight="1" s="67">
      <c r="A3" s="73" t="inlineStr">
        <is>
          <t>Period</t>
        </is>
      </c>
      <c r="B3" s="74" t="inlineStr">
        <is>
          <t>FY24</t>
        </is>
      </c>
      <c r="C3" s="74" t="inlineStr">
        <is>
          <t>FY25</t>
        </is>
      </c>
      <c r="D3" s="74" t="inlineStr">
        <is>
          <t>H1 FY26</t>
        </is>
      </c>
      <c r="E3" s="74" t="inlineStr">
        <is>
          <t>FY26 (base)</t>
        </is>
      </c>
      <c r="F3" s="74" t="n"/>
      <c r="G3" s="74" t="inlineStr">
        <is>
          <t>Y1 FY27</t>
        </is>
      </c>
      <c r="H3" s="74" t="inlineStr">
        <is>
          <t>Y2 FY28</t>
        </is>
      </c>
      <c r="I3" s="74" t="inlineStr">
        <is>
          <t>Y3 FY29</t>
        </is>
      </c>
      <c r="J3" s="74" t="inlineStr">
        <is>
          <t>Y4 FY30</t>
        </is>
      </c>
      <c r="K3" s="74" t="inlineStr">
        <is>
          <t>Y5 FY31</t>
        </is>
      </c>
      <c r="L3" s="74" t="inlineStr">
        <is>
          <t>Notes</t>
        </is>
      </c>
    </row>
    <row r="5" ht="21.75" customHeight="1" s="67">
      <c r="A5" s="75" t="inlineStr">
        <is>
          <t>REVENUE (continuing ops)</t>
        </is>
      </c>
      <c r="B5" s="76" t="n"/>
      <c r="C5" s="76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 t="n"/>
    </row>
    <row r="6" ht="39.55" customHeight="1" s="67">
      <c r="A6" s="96" t="inlineStr">
        <is>
          <t>Revenue</t>
        </is>
      </c>
      <c r="B6" s="102" t="n">
        <v>3700</v>
      </c>
      <c r="C6" s="102" t="n">
        <v>3220</v>
      </c>
      <c r="D6" s="102" t="n">
        <v>1609.8</v>
      </c>
      <c r="E6" s="103">
        <f>Assumptions!$B$9</f>
        <v/>
      </c>
      <c r="G6" s="104">
        <f>E6*(1+Assumptions!$B$42)</f>
        <v/>
      </c>
      <c r="H6" s="104">
        <f>G6*(1+Assumptions!$B$42)</f>
        <v/>
      </c>
      <c r="I6" s="104">
        <f>H6*(1+Assumptions!$B$42)</f>
        <v/>
      </c>
      <c r="J6" s="104">
        <f>I6*(1+Assumptions!$B$42)</f>
        <v/>
      </c>
      <c r="K6" s="104">
        <f>J6*(1+Assumptions!$B$42)</f>
        <v/>
      </c>
      <c r="L6" s="71" t="inlineStr">
        <is>
          <t>Y1-Y5 compound at chain-derived 5.9%. Q1 base year reset to AUD 3,400m (continuing-ops, ex Phosphate Hill).</t>
        </is>
      </c>
    </row>
    <row r="8" ht="21.75" customHeight="1" s="67">
      <c r="A8" s="75" t="inlineStr">
        <is>
          <t>EBIT (Group; ex IMIs) — Q2/Q3 reconciled to exit run rate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</row>
    <row r="9" ht="39.55" customHeight="1" s="67">
      <c r="A9" s="96" t="inlineStr">
        <is>
          <t>EBIT margin (applied)</t>
        </is>
      </c>
      <c r="D9" s="97" t="n">
        <v>0.139</v>
      </c>
      <c r="E9" s="105">
        <f>Assumptions!$B$10</f>
        <v/>
      </c>
      <c r="G9" s="106">
        <f>Assumptions!$B$10+Assumptions!$B$45+Assumptions!$B$52</f>
        <v/>
      </c>
      <c r="H9" s="106">
        <f>Assumptions!$B$10+Assumptions!$B$46+Assumptions!$B$53</f>
        <v/>
      </c>
      <c r="I9" s="106">
        <f>Assumptions!$B$10+Assumptions!$B$47+Assumptions!$B$54</f>
        <v/>
      </c>
      <c r="J9" s="106">
        <f>Assumptions!$B$10+Assumptions!$B$48+Assumptions!$B$55</f>
        <v/>
      </c>
      <c r="K9" s="106">
        <f>Assumptions!$B$10+Assumptions!$B$49+Assumptions!$B$56</f>
        <v/>
      </c>
      <c r="L9" s="71" t="inlineStr">
        <is>
          <t>Base 14.1% + transformation glide (+60/+180/+200/+200/+200 bps) + gas roll-off (0/0/-50/-100/-150 bps).</t>
        </is>
      </c>
    </row>
    <row r="10" ht="39.55" customHeight="1" s="67">
      <c r="A10" s="70" t="inlineStr">
        <is>
          <t>EBIT</t>
        </is>
      </c>
      <c r="D10" s="107">
        <f>D6*D9</f>
        <v/>
      </c>
      <c r="E10" s="107">
        <f>E6*E9</f>
        <v/>
      </c>
      <c r="G10" s="107">
        <f>G6*G9</f>
        <v/>
      </c>
      <c r="H10" s="107">
        <f>H6*H9</f>
        <v/>
      </c>
      <c r="I10" s="107">
        <f>I6*I9</f>
        <v/>
      </c>
      <c r="J10" s="107">
        <f>J6*J9</f>
        <v/>
      </c>
      <c r="K10" s="107">
        <f>K6*K9</f>
        <v/>
      </c>
      <c r="L10" s="71" t="inlineStr">
        <is>
          <t>FY27 ~AUD 530m (within management exit run rate 495-525). FY28 ~AUD 600m (matches ambition).</t>
        </is>
      </c>
    </row>
    <row r="12" ht="21.75" customHeight="1" s="67">
      <c r="A12" s="75" t="inlineStr">
        <is>
          <t>BELOW EBIT (per-year tax rate from Tax Bridge tab)</t>
        </is>
      </c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</row>
    <row r="13" ht="26.85" customHeight="1" s="67">
      <c r="A13" s="96" t="inlineStr">
        <is>
          <t>Applied tax rate</t>
        </is>
      </c>
      <c r="G13" s="105">
        <f>'Tax Bridge'!$B$12</f>
        <v/>
      </c>
      <c r="H13" s="105">
        <f>'Tax Bridge'!$B$13</f>
        <v/>
      </c>
      <c r="I13" s="105">
        <f>'Tax Bridge'!$B$14</f>
        <v/>
      </c>
      <c r="J13" s="105">
        <f>'Tax Bridge'!$B$15</f>
        <v/>
      </c>
      <c r="K13" s="105">
        <f>'Tax Bridge'!$B$16</f>
        <v/>
      </c>
      <c r="L13" s="71" t="inlineStr">
        <is>
          <t>Linear glide effective 22.5% (Y1) -&gt; blended statutory 27.5% (Y5).</t>
        </is>
      </c>
    </row>
    <row r="14" ht="15" customHeight="1" s="67">
      <c r="A14" s="96" t="inlineStr">
        <is>
          <t>Tax on EBIT</t>
        </is>
      </c>
      <c r="G14" s="104">
        <f>-G10*G13</f>
        <v/>
      </c>
      <c r="H14" s="104">
        <f>-H10*H13</f>
        <v/>
      </c>
      <c r="I14" s="104">
        <f>-I10*I13</f>
        <v/>
      </c>
      <c r="J14" s="104">
        <f>-J10*J13</f>
        <v/>
      </c>
      <c r="K14" s="104">
        <f>-K10*K13</f>
        <v/>
      </c>
    </row>
    <row r="15" ht="15" customHeight="1" s="67">
      <c r="A15" s="70" t="inlineStr">
        <is>
          <t>NOPAT (Group)</t>
        </is>
      </c>
      <c r="G15" s="107">
        <f>G10+G14</f>
        <v/>
      </c>
      <c r="H15" s="107">
        <f>H10+H14</f>
        <v/>
      </c>
      <c r="I15" s="107">
        <f>I10+I14</f>
        <v/>
      </c>
      <c r="J15" s="107">
        <f>J10+J14</f>
        <v/>
      </c>
      <c r="K15" s="107">
        <f>K10+K14</f>
        <v/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66" min="1" max="1"/>
    <col width="16" customWidth="1" style="66" min="2" max="2"/>
    <col width="60" customWidth="1" style="66" min="3" max="3"/>
  </cols>
  <sheetData>
    <row r="1" ht="16.15" customHeight="1" s="67">
      <c r="A1" s="95" t="inlineStr">
        <is>
          <t>DNL balance sheet summary at 31 March 2026 (H1 FY26 anchor; AUD m)</t>
        </is>
      </c>
    </row>
    <row r="3" ht="19.5" customHeight="1" s="67">
      <c r="A3" s="73" t="inlineStr">
        <is>
          <t>Line</t>
        </is>
      </c>
      <c r="B3" s="74" t="inlineStr">
        <is>
          <t>AUD m</t>
        </is>
      </c>
      <c r="C3" s="74" t="inlineStr">
        <is>
          <t>Notes</t>
        </is>
      </c>
    </row>
    <row r="4" ht="21.75" customHeight="1" s="67">
      <c r="A4" s="75" t="inlineStr">
        <is>
          <t>ASSETS (statutory presentation per Q4 review)</t>
        </is>
      </c>
      <c r="B4" s="76" t="n"/>
      <c r="C4" s="76" t="n"/>
    </row>
    <row r="5" ht="15" customHeight="1" s="67">
      <c r="A5" s="71" t="inlineStr">
        <is>
          <t>Cash and short-term investments</t>
        </is>
      </c>
      <c r="B5" s="83" t="n">
        <v>647.2</v>
      </c>
      <c r="C5" s="71" t="inlineStr">
        <is>
          <t>Per H1 BS</t>
        </is>
      </c>
    </row>
    <row r="6" ht="15" customHeight="1" s="67">
      <c r="A6" s="71" t="inlineStr">
        <is>
          <t>Trade receivables (gross)</t>
        </is>
      </c>
      <c r="B6" s="83" t="n">
        <v>840.5</v>
      </c>
    </row>
    <row r="7" ht="15" customHeight="1" s="67">
      <c r="A7" s="71" t="inlineStr">
        <is>
          <t>Inventory</t>
        </is>
      </c>
      <c r="B7" s="83" t="n">
        <v>519.1</v>
      </c>
    </row>
    <row r="8" ht="15" customHeight="1" s="67">
      <c r="A8" s="71" t="inlineStr">
        <is>
          <t>Other current assets</t>
        </is>
      </c>
      <c r="B8" s="83" t="n">
        <v>115.9</v>
      </c>
    </row>
    <row r="9" ht="15" customHeight="1" s="67">
      <c r="A9" s="71" t="inlineStr">
        <is>
          <t>Net PP&amp;E</t>
        </is>
      </c>
      <c r="B9" s="83" t="n">
        <v>2120</v>
      </c>
      <c r="C9" s="71" t="inlineStr">
        <is>
          <t>Per H1 announcement page 11.</t>
        </is>
      </c>
    </row>
    <row r="10" ht="15" customHeight="1" s="67">
      <c r="A10" s="71" t="inlineStr">
        <is>
          <t>Lease assets</t>
        </is>
      </c>
      <c r="B10" s="83" t="n">
        <v>145.1</v>
      </c>
    </row>
    <row r="11" ht="15" customHeight="1" s="67">
      <c r="A11" s="71" t="inlineStr">
        <is>
          <t>Intangible assets</t>
        </is>
      </c>
      <c r="B11" s="83" t="n">
        <v>2562.9</v>
      </c>
      <c r="C11" s="71" t="inlineStr">
        <is>
          <t>Goodwill + intangibles.</t>
        </is>
      </c>
    </row>
    <row r="12" ht="15" customHeight="1" s="67">
      <c r="A12" s="71" t="inlineStr">
        <is>
          <t>Net other assets / long-term investments</t>
        </is>
      </c>
      <c r="B12" s="83" t="n">
        <v>433.2</v>
      </c>
    </row>
    <row r="13" ht="15" customHeight="1" s="67">
      <c r="A13" s="71" t="inlineStr">
        <is>
          <t>Net tax assets</t>
        </is>
      </c>
      <c r="B13" s="83" t="n">
        <v>25.3</v>
      </c>
    </row>
    <row r="14" ht="39.55" customHeight="1" s="67">
      <c r="A14" s="71" t="inlineStr">
        <is>
          <t>Total assets (gross per statutory)</t>
        </is>
      </c>
      <c r="B14" s="83" t="n">
        <v>6997.7</v>
      </c>
      <c r="C14" s="71" t="inlineStr">
        <is>
          <t>Per H1 statutory accounts; differs from H1 announcement net-working-capital presentation (AUD 5,863m) by ~AUD 1,135m which is gross-up of TWC items.</t>
        </is>
      </c>
    </row>
    <row r="16" ht="21.75" customHeight="1" s="67">
      <c r="A16" s="75" t="inlineStr">
        <is>
          <t>LIABILITIES &amp; EQUITY</t>
        </is>
      </c>
      <c r="B16" s="76" t="n"/>
      <c r="C16" s="76" t="n"/>
    </row>
    <row r="17" ht="15" customHeight="1" s="67">
      <c r="A17" s="71" t="inlineStr">
        <is>
          <t>Trade payables (gross)</t>
        </is>
      </c>
      <c r="B17" s="83" t="n">
        <v>733.7</v>
      </c>
    </row>
    <row r="18" ht="39.55" customHeight="1" s="67">
      <c r="A18" s="71" t="inlineStr">
        <is>
          <t>Environmental &amp; restructure liabilities</t>
        </is>
      </c>
      <c r="B18" s="83" t="n">
        <v>249.3</v>
      </c>
      <c r="C18" s="71" t="inlineStr">
        <is>
          <t>Per H1 announcement page 11. Includes AUD 82m Phosphate Hill ARO reclassified to Held for Sale; AUD 33m payments in H1.</t>
        </is>
      </c>
    </row>
    <row r="19" ht="15" customHeight="1" s="67">
      <c r="A19" s="71" t="inlineStr">
        <is>
          <t>Lease liabilities</t>
        </is>
      </c>
      <c r="B19" s="83" t="n">
        <v>194.3</v>
      </c>
      <c r="C19" s="71" t="inlineStr">
        <is>
          <t>AASB 16; matches lease assets above on liability side.</t>
        </is>
      </c>
    </row>
    <row r="20" ht="39.55" customHeight="1" s="67">
      <c r="A20" s="71" t="inlineStr">
        <is>
          <t>Net debt (reported, H1 anchor)</t>
        </is>
      </c>
      <c r="B20" s="83" t="n">
        <v>1260.8</v>
      </c>
      <c r="C20" s="71" t="inlineStr">
        <is>
          <t>Interest-bearing liabilities + capital leases - cash - hedging derivatives. Up AUD 80m H/H: buyback AUD 128m + dividends paid AUD 170m - Gibson Island proceeds AUD 198m.</t>
        </is>
      </c>
    </row>
    <row r="21" ht="15" customHeight="1" s="67">
      <c r="A21" s="71" t="inlineStr">
        <is>
          <t>Net liabilities classified as held for sale</t>
        </is>
      </c>
      <c r="B21" s="83" t="n">
        <v>111.5</v>
      </c>
      <c r="C21" s="71" t="inlineStr">
        <is>
          <t>Phosphate Hill (binding sale agreement signed March 2026).</t>
        </is>
      </c>
    </row>
    <row r="22" ht="15" customHeight="1" s="67">
      <c r="A22" s="71" t="inlineStr">
        <is>
          <t>Other current liabilities + other LT</t>
        </is>
      </c>
      <c r="B22" s="83" t="n">
        <v>248.3</v>
      </c>
    </row>
    <row r="23" ht="15" customHeight="1" s="67">
      <c r="A23" s="71" t="inlineStr">
        <is>
          <t>Total liabilities (gross)</t>
        </is>
      </c>
      <c r="B23" s="83" t="n">
        <v>2797.9</v>
      </c>
    </row>
    <row r="24" ht="15" customHeight="1" s="67">
      <c r="A24" s="71" t="inlineStr">
        <is>
          <t>Net assets / Total equity</t>
        </is>
      </c>
      <c r="B24" s="83" t="n">
        <v>4199.8</v>
      </c>
      <c r="C24" s="71" t="inlineStr">
        <is>
          <t>Per statutory presentation.</t>
        </is>
      </c>
    </row>
    <row r="26" ht="21.75" customHeight="1" s="67">
      <c r="A26" s="75" t="inlineStr">
        <is>
          <t>CREDIT METRICS</t>
        </is>
      </c>
      <c r="B26" s="76" t="n"/>
      <c r="C26" s="76" t="n"/>
    </row>
    <row r="27" ht="15" customHeight="1" s="67">
      <c r="A27" s="96" t="inlineStr">
        <is>
          <t>Net debt / EBITDA (TTM)</t>
        </is>
      </c>
      <c r="B27" s="108" t="n">
        <v>1.3</v>
      </c>
      <c r="C27" s="96" t="inlineStr">
        <is>
          <t>Per H1 disclosure. Well within 2.0x policy.</t>
        </is>
      </c>
    </row>
    <row r="28" ht="15" customHeight="1" s="67">
      <c r="A28" s="96" t="inlineStr">
        <is>
          <t>Interest cover</t>
        </is>
      </c>
      <c r="B28" s="108" t="n">
        <v>12.5</v>
      </c>
    </row>
    <row r="29" ht="15" customHeight="1" s="67">
      <c r="A29" s="96" t="inlineStr">
        <is>
          <t>Credit rating (S&amp;P)</t>
        </is>
      </c>
      <c r="B29" s="109" t="inlineStr">
        <is>
          <t>BBB stable</t>
        </is>
      </c>
    </row>
    <row r="30" ht="15" customHeight="1" s="67">
      <c r="A30" s="96" t="inlineStr">
        <is>
          <t>Credit rating (Moody's)</t>
        </is>
      </c>
      <c r="B30" s="109" t="inlineStr">
        <is>
          <t>Baa2 stable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66" min="1" max="1"/>
    <col width="14" customWidth="1" style="66" min="2" max="2"/>
    <col width="12" customWidth="1" style="66" min="3" max="3"/>
    <col width="65" customWidth="1" style="66" min="4" max="4"/>
  </cols>
  <sheetData>
    <row r="1" ht="16.15" customHeight="1" s="67">
      <c r="A1" s="95" t="inlineStr">
        <is>
          <t>DNL WACC component build-up — single discipline, Hamada with world-index beta</t>
        </is>
      </c>
    </row>
    <row r="2"/>
    <row r="3" ht="19.5" customHeight="1" s="67">
      <c r="A3" s="76" t="n"/>
      <c r="B3" s="74" t="inlineStr">
        <is>
          <t>Value</t>
        </is>
      </c>
      <c r="C3" s="74" t="inlineStr">
        <is>
          <t>Units</t>
        </is>
      </c>
      <c r="D3" s="74" t="inlineStr">
        <is>
          <t>Source / formula</t>
        </is>
      </c>
    </row>
    <row r="4" ht="21.75" customHeight="1" s="67">
      <c r="A4" s="75" t="inlineStr">
        <is>
          <t>COST OF EQUITY (CAPM with Hamada re-levered beta)</t>
        </is>
      </c>
      <c r="B4" s="76" t="n"/>
      <c r="C4" s="76" t="n"/>
      <c r="D4" s="76" t="n"/>
    </row>
    <row r="5" ht="26.85" customHeight="1" s="67">
      <c r="A5" s="71" t="inlineStr">
        <is>
          <t>Risk-free rate (Rf)</t>
        </is>
      </c>
      <c r="B5" s="110">
        <f>Assumptions!$B$69</f>
        <v/>
      </c>
      <c r="C5" s="78" t="inlineStr">
        <is>
          <t>%</t>
        </is>
      </c>
      <c r="D5" s="71" t="inlineStr">
        <is>
          <t>10Y on-the-run CGS YTM, May 2026. Bloomberg GACGB10. Coupon-bearing (not zero-coupon); convention documented.</t>
        </is>
      </c>
    </row>
    <row r="6" ht="15" customHeight="1" s="67">
      <c r="A6" s="71" t="inlineStr">
        <is>
          <t>Equity risk premium (ERP)</t>
        </is>
      </c>
      <c r="B6" s="110">
        <f>Assumptions!$B$70</f>
        <v/>
      </c>
      <c r="C6" s="78" t="inlineStr">
        <is>
          <t>%</t>
        </is>
      </c>
      <c r="D6" s="71" t="inlineStr">
        <is>
          <t>Damodaran mature-Australia ERP.</t>
        </is>
      </c>
    </row>
    <row r="7" ht="39.55" customHeight="1" s="67">
      <c r="A7" s="71" t="inlineStr">
        <is>
          <t>Beta (re-levered)</t>
        </is>
      </c>
      <c r="B7" s="111">
        <f>Assumptions!$B$71</f>
        <v/>
      </c>
      <c r="C7" s="78" t="n"/>
      <c r="D7" s="71" t="inlineStr">
        <is>
          <t>World-index basis (AUD-MSCI World), re-levered via Hamada with marginal tax 30% and D/E 0.197. Convention: world index for &gt;30% non-Australian revenue companies.</t>
        </is>
      </c>
    </row>
    <row r="8" ht="15" customHeight="1" s="67">
      <c r="A8" s="112" t="inlineStr">
        <is>
          <t>Cost of equity (Re = Rf + Beta x ERP)</t>
        </is>
      </c>
      <c r="B8" s="113">
        <f>B5+B7*B6</f>
        <v/>
      </c>
      <c r="C8" s="114" t="inlineStr">
        <is>
          <t>%</t>
        </is>
      </c>
      <c r="D8" s="71" t="inlineStr">
        <is>
          <t>CAPM.</t>
        </is>
      </c>
    </row>
    <row r="9"/>
    <row r="10" ht="21.75" customHeight="1" s="67">
      <c r="A10" s="75" t="inlineStr">
        <is>
          <t>COST OF DEBT (after-tax, using marginal/statutory rate)</t>
        </is>
      </c>
      <c r="B10" s="76" t="n"/>
      <c r="C10" s="76" t="n"/>
      <c r="D10" s="76" t="n"/>
    </row>
    <row r="11" ht="15" customHeight="1" s="67">
      <c r="A11" s="71" t="inlineStr">
        <is>
          <t>Cost of debt, pre-tax (Rd)</t>
        </is>
      </c>
      <c r="B11" s="115">
        <f>Assumptions!$B$72</f>
        <v/>
      </c>
      <c r="C11" s="78" t="inlineStr">
        <is>
          <t>%</t>
        </is>
      </c>
      <c r="D11" s="71" t="inlineStr">
        <is>
          <t>BBB spread ~170bps.</t>
        </is>
      </c>
    </row>
    <row r="12" ht="52.2" customHeight="1" s="67">
      <c r="A12" s="71" t="inlineStr">
        <is>
          <t>Tax rate (consistent with Tax Bridge blended statutory)</t>
        </is>
      </c>
      <c r="B12" s="116">
        <f>'Tax Bridge'!$D$8</f>
        <v/>
      </c>
      <c r="C12" s="78" t="inlineStr">
        <is>
          <t>%</t>
        </is>
      </c>
      <c r="D12" s="71" t="inlineStr">
        <is>
          <t>Per consistency principle: same rate used for terminal operating tax, debt tax shield, and Hamada re-levering. Linked to Tax Bridge blended statutory ~27.5%. Was 30% statutory in earlier draft; corrected for internal consistency.</t>
        </is>
      </c>
    </row>
    <row r="13" ht="15" customHeight="1" s="67">
      <c r="A13" s="112" t="inlineStr">
        <is>
          <t>Cost of debt, after-tax</t>
        </is>
      </c>
      <c r="B13" s="113">
        <f>B11*(1-B12)</f>
        <v/>
      </c>
      <c r="C13" s="114" t="inlineStr">
        <is>
          <t>%</t>
        </is>
      </c>
      <c r="D13" s="71" t="inlineStr">
        <is>
          <t>Rd x (1 - marginal tax rate).</t>
        </is>
      </c>
    </row>
    <row r="14"/>
    <row r="15" ht="21.75" customHeight="1" s="67">
      <c r="A15" s="75" t="inlineStr">
        <is>
          <t>CAPITAL-STRUCTURE WEIGHTS (market value)</t>
        </is>
      </c>
      <c r="B15" s="76" t="n"/>
      <c r="C15" s="76" t="n"/>
      <c r="D15" s="76" t="n"/>
    </row>
    <row r="16" ht="15" customHeight="1" s="67">
      <c r="A16" s="71" t="inlineStr">
        <is>
          <t>Equity market value (E)</t>
        </is>
      </c>
      <c r="B16" s="117">
        <f>Assumptions!$B$73</f>
        <v/>
      </c>
      <c r="C16" s="78" t="inlineStr">
        <is>
          <t>AUD m</t>
        </is>
      </c>
      <c r="D16" s="71" t="inlineStr">
        <is>
          <t>Per Assumptions.</t>
        </is>
      </c>
    </row>
    <row r="17" ht="15" customHeight="1" s="67">
      <c r="A17" s="71" t="inlineStr">
        <is>
          <t>Debt market value (D)</t>
        </is>
      </c>
      <c r="B17" s="117">
        <f>Assumptions!$B$74</f>
        <v/>
      </c>
      <c r="C17" s="78" t="inlineStr">
        <is>
          <t>AUD m</t>
        </is>
      </c>
      <c r="D17" s="71" t="inlineStr">
        <is>
          <t>Per Assumptions.</t>
        </is>
      </c>
    </row>
    <row r="18" ht="15" customHeight="1" s="67">
      <c r="A18" s="71" t="inlineStr">
        <is>
          <t>Enterprise value (V = E + D)</t>
        </is>
      </c>
      <c r="B18" s="118">
        <f>B16+B17</f>
        <v/>
      </c>
      <c r="C18" s="114" t="inlineStr">
        <is>
          <t>AUD m</t>
        </is>
      </c>
      <c r="D18" s="71" t="n"/>
    </row>
    <row r="19" ht="15" customHeight="1" s="67">
      <c r="A19" s="71" t="inlineStr">
        <is>
          <t>E/V</t>
        </is>
      </c>
      <c r="B19" s="119">
        <f>B16/B18</f>
        <v/>
      </c>
      <c r="C19" s="114" t="inlineStr">
        <is>
          <t>%</t>
        </is>
      </c>
      <c r="D19" s="71" t="n"/>
    </row>
    <row r="20" ht="15" customHeight="1" s="67">
      <c r="A20" s="71" t="inlineStr">
        <is>
          <t>D/V</t>
        </is>
      </c>
      <c r="B20" s="119">
        <f>B17/B18</f>
        <v/>
      </c>
      <c r="C20" s="114" t="inlineStr">
        <is>
          <t>%</t>
        </is>
      </c>
      <c r="D20" s="71" t="n"/>
    </row>
    <row r="21"/>
    <row r="22" ht="21.75" customHeight="1" s="67">
      <c r="A22" s="75" t="inlineStr">
        <is>
          <t>APPLIED WACC (constant across scenarios; user-overridable)</t>
        </is>
      </c>
      <c r="B22" s="76" t="n"/>
      <c r="C22" s="76" t="n"/>
      <c r="D22" s="76" t="n"/>
    </row>
    <row r="23" ht="15" customHeight="1" s="67">
      <c r="A23" s="112" t="inlineStr">
        <is>
          <t>Baseline WACC (computed)</t>
        </is>
      </c>
      <c r="B23" s="113">
        <f>B19*B8+B20*B13</f>
        <v/>
      </c>
      <c r="C23" s="114" t="inlineStr">
        <is>
          <t>%</t>
        </is>
      </c>
      <c r="D23" s="71" t="inlineStr">
        <is>
          <t>WACC = (E/V) x Re + (D/V) x Rd_at.</t>
        </is>
      </c>
    </row>
    <row r="24" ht="26.85" customHeight="1" s="67">
      <c r="A24" s="112" t="inlineStr">
        <is>
          <t>Applied WACC</t>
        </is>
      </c>
      <c r="B24" s="120">
        <f>B23</f>
        <v/>
      </c>
      <c r="C24" s="114" t="inlineStr">
        <is>
          <t>%</t>
        </is>
      </c>
      <c r="D24" s="71" t="inlineStr">
        <is>
          <t>Default: linked to baseline build. Override this cell for sensitivity (e.g., 0.0725 for -100bps test).</t>
        </is>
      </c>
    </row>
    <row r="25"/>
    <row r="26" ht="21.75" customHeight="1" s="67">
      <c r="A26" s="75" t="inlineStr">
        <is>
          <t>CONVENTIONS DOCUMENTED</t>
        </is>
      </c>
      <c r="B26" s="76" t="n"/>
      <c r="C26" s="76" t="n"/>
      <c r="D26" s="76" t="n"/>
    </row>
    <row r="27" ht="26.85" customHeight="1" s="67">
      <c r="A27" s="96" t="inlineStr">
        <is>
          <t>(i) Hamada formula</t>
        </is>
      </c>
      <c r="D27" s="71" t="inlineStr">
        <is>
          <t>Beta_L = Beta_U x (1 + (1-t) x D/E), with t = blended statutory (per consistency principle; was 30% in earlier draft).</t>
        </is>
      </c>
    </row>
    <row r="28" ht="26.85" customHeight="1" s="67">
      <c r="A28" s="96" t="inlineStr">
        <is>
          <t>(ii) Market index</t>
        </is>
      </c>
      <c r="D28" s="71" t="inlineStr">
        <is>
          <t>AUD-MSCI World for companies with &gt;30% non-Australian revenue (DNL: 65% non-AU). ASX200 cross-check.</t>
        </is>
      </c>
    </row>
    <row r="29" ht="26.85" customHeight="1" s="67">
      <c r="A29" s="96" t="inlineStr">
        <is>
          <t>(iii) Risk-free rate</t>
        </is>
      </c>
      <c r="D29" s="71" t="inlineStr">
        <is>
          <t>10Y on-the-run CGS YTM (coupon-bearing). Refreshed at valuation date.</t>
        </is>
      </c>
    </row>
    <row r="30" ht="39.55" customHeight="1" s="67">
      <c r="A30" s="96" t="inlineStr">
        <is>
          <t>(iv) Tax-rate consistency</t>
        </is>
      </c>
      <c r="D30" s="71" t="inlineStr">
        <is>
          <t>Same blended statutory rate (~27.5%, from Tax Bridge D8) used for (a) terminal operating tax, (b) debt tax shield in WACC, and (c) Hamada re-levering. Principle: internal consistency across the model.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66" min="1" max="1"/>
    <col width="12" customWidth="1" style="66" min="2" max="3"/>
    <col width="22" customWidth="1" style="66" min="4" max="4"/>
    <col width="55" customWidth="1" style="66" min="5" max="5"/>
    <col width="18" customWidth="1" style="66" min="6" max="6"/>
    <col width="12" customWidth="1" style="66" min="7" max="7"/>
  </cols>
  <sheetData>
    <row r="1" ht="16.15" customHeight="1" s="67">
      <c r="A1" s="95" t="inlineStr">
        <is>
          <t>DNL IMI Register — H1 FY26</t>
        </is>
      </c>
    </row>
    <row r="3" ht="19.5" customHeight="1" s="67">
      <c r="A3" s="73" t="inlineStr">
        <is>
          <t>IMI item</t>
        </is>
      </c>
      <c r="B3" s="74" t="inlineStr">
        <is>
          <t>After tax (AUD m)</t>
        </is>
      </c>
      <c r="C3" s="74" t="inlineStr">
        <is>
          <t>Gross (AUD m)</t>
        </is>
      </c>
      <c r="D3" s="74" t="inlineStr">
        <is>
          <t>P&amp;L line</t>
        </is>
      </c>
      <c r="E3" s="74" t="inlineStr">
        <is>
          <t>Frequency context</t>
        </is>
      </c>
      <c r="F3" s="74" t="inlineStr">
        <is>
          <t>Default lean</t>
        </is>
      </c>
      <c r="G3" s="74" t="inlineStr">
        <is>
          <t>Applied</t>
        </is>
      </c>
    </row>
    <row r="4" ht="15" customHeight="1" s="67">
      <c r="A4" s="71" t="inlineStr">
        <is>
          <t>Phosphate Hill impairment + site exit</t>
        </is>
      </c>
      <c r="B4" s="102" t="n">
        <v>125.9</v>
      </c>
      <c r="C4" s="102" t="n">
        <v>179.6</v>
      </c>
      <c r="D4" s="96" t="inlineStr">
        <is>
          <t>above_ebit</t>
        </is>
      </c>
      <c r="E4" s="71" t="inlineStr">
        <is>
          <t>First occurrence; tied to specific divestment.</t>
        </is>
      </c>
      <c r="F4" s="78" t="inlineStr">
        <is>
          <t>accept_as_one_off</t>
        </is>
      </c>
      <c r="G4" s="121" t="inlineStr">
        <is>
          <t>strip</t>
        </is>
      </c>
    </row>
    <row r="5" ht="15" customHeight="1" s="67">
      <c r="A5" s="71" t="inlineStr">
        <is>
          <t>IPF Distribution / Gibson Island</t>
        </is>
      </c>
      <c r="B5" s="102" t="n">
        <v>11.2</v>
      </c>
      <c r="C5" s="102" t="n">
        <v>11.2</v>
      </c>
      <c r="D5" s="96" t="inlineStr">
        <is>
          <t>below_ebit</t>
        </is>
      </c>
      <c r="E5" s="71" t="inlineStr">
        <is>
          <t>Tied to FY25 divestments; final adjustments.</t>
        </is>
      </c>
      <c r="F5" s="78" t="inlineStr">
        <is>
          <t>accept_as_one_off</t>
        </is>
      </c>
      <c r="G5" s="121" t="inlineStr">
        <is>
          <t>strip</t>
        </is>
      </c>
    </row>
    <row r="6" ht="26.85" customHeight="1" s="67">
      <c r="A6" s="71" t="inlineStr">
        <is>
          <t>Business transformation costs</t>
        </is>
      </c>
      <c r="B6" s="102" t="n">
        <v>3.9</v>
      </c>
      <c r="C6" s="102" t="n">
        <v>5.6</v>
      </c>
      <c r="D6" s="96" t="inlineStr">
        <is>
          <t>above_ebit</t>
        </is>
      </c>
      <c r="E6" s="71" t="inlineStr">
        <is>
          <t>FY24/25/26 (3 consecutive years); transformation winding down post fertilisers separation.</t>
        </is>
      </c>
      <c r="F6" s="122" t="inlineStr">
        <is>
          <t>partial_recur (borderline)</t>
        </is>
      </c>
      <c r="G6" s="121" t="inlineStr">
        <is>
          <t>strip</t>
        </is>
      </c>
    </row>
    <row r="7" ht="15" customHeight="1" s="67">
      <c r="A7" s="112" t="inlineStr">
        <is>
          <t>Total IMIs (H1 FY26)</t>
        </is>
      </c>
      <c r="B7" s="107">
        <f>SUM(B4:B6)</f>
        <v/>
      </c>
      <c r="C7" s="107">
        <f>SUM(C4:C6)</f>
        <v/>
      </c>
      <c r="D7" s="96" t="n"/>
      <c r="E7" s="71" t="n"/>
      <c r="F7" s="78" t="n"/>
      <c r="G7" s="123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style="67" min="1" max="1"/>
    <col width="11" customWidth="1" style="67" min="2" max="2"/>
    <col width="11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</cols>
  <sheetData>
    <row r="1">
      <c r="A1" s="124" t="inlineStr">
        <is>
          <t>DNL Muddle Through DCF — v5 build-up with Step 2 → Step 3 decomposition</t>
        </is>
      </c>
    </row>
    <row r="2">
      <c r="A2" s="125" t="inlineStr">
        <is>
          <t>Per methodology v0.6 §11 workbook construction discipline (industry baseline + company offset shown explicitly)</t>
        </is>
      </c>
    </row>
    <row r="4">
      <c r="A4" s="126" t="inlineStr">
        <is>
          <t>Line</t>
        </is>
      </c>
      <c r="B4" s="126" t="inlineStr">
        <is>
          <t>Stub</t>
        </is>
      </c>
      <c r="C4" s="126" t="inlineStr">
        <is>
          <t>Y1 FY27</t>
        </is>
      </c>
      <c r="D4" s="126" t="inlineStr">
        <is>
          <t>Y2 FY28</t>
        </is>
      </c>
      <c r="E4" s="126" t="inlineStr">
        <is>
          <t>Y3 FY29</t>
        </is>
      </c>
      <c r="F4" s="126" t="inlineStr">
        <is>
          <t>Y4 FY30</t>
        </is>
      </c>
      <c r="G4" s="126" t="inlineStr">
        <is>
          <t>Y5 FY31</t>
        </is>
      </c>
    </row>
    <row r="5">
      <c r="A5" s="127" t="inlineStr">
        <is>
          <t>REVENUE GROWTH BUILD-UP (per §11 traceability requirement)</t>
        </is>
      </c>
      <c r="B5" s="128" t="n"/>
      <c r="C5" s="128" t="n"/>
      <c r="D5" s="128" t="n"/>
      <c r="E5" s="128" t="n"/>
      <c r="F5" s="128" t="n"/>
      <c r="G5" s="128" t="n"/>
    </row>
    <row r="6">
      <c r="A6" s="129" t="inlineStr">
        <is>
          <t>Industry revenue growth p.a. (from §2.2 archetype translation)</t>
        </is>
      </c>
      <c r="B6" s="130" t="n">
        <v>0.0645</v>
      </c>
      <c r="C6" s="130" t="n">
        <v>0.0645</v>
      </c>
      <c r="D6" s="130" t="n">
        <v>0.0645</v>
      </c>
      <c r="E6" s="130" t="n">
        <v>0.0645</v>
      </c>
      <c r="F6" s="130" t="n">
        <v>0.0645</v>
      </c>
      <c r="G6" s="130" t="n">
        <v>0.0645</v>
      </c>
    </row>
    <row r="7">
      <c r="A7" s="129" t="inlineStr">
        <is>
          <t>Less: company-position offset (5 Forces: rivalry -30 + product mix -10 + DNEL +15)</t>
        </is>
      </c>
      <c r="B7" s="131" t="n">
        <v>-0.0025</v>
      </c>
      <c r="C7" s="131" t="n">
        <v>-0.0025</v>
      </c>
      <c r="D7" s="131" t="n">
        <v>-0.0025</v>
      </c>
      <c r="E7" s="131" t="n">
        <v>-0.0025</v>
      </c>
      <c r="F7" s="131" t="n">
        <v>-0.0025</v>
      </c>
      <c r="G7" s="131" t="n">
        <v>-0.0025</v>
      </c>
    </row>
    <row r="8">
      <c r="A8" s="132">
        <f> DNL revenue growth</f>
        <v/>
      </c>
      <c r="B8" s="133" t="n">
        <v>0.062</v>
      </c>
      <c r="C8" s="133" t="n">
        <v>0.062</v>
      </c>
      <c r="D8" s="133" t="n">
        <v>0.062</v>
      </c>
      <c r="E8" s="133" t="n">
        <v>0.062</v>
      </c>
      <c r="F8" s="133" t="n">
        <v>0.062</v>
      </c>
      <c r="G8" s="133" t="n">
        <v>0.062</v>
      </c>
    </row>
    <row r="9">
      <c r="A9" s="134" t="inlineStr">
        <is>
          <t>Revenue (AUD m, computed)</t>
        </is>
      </c>
      <c r="B9" s="135" t="n">
        <v>1193</v>
      </c>
      <c r="C9" s="135" t="n">
        <v>3609</v>
      </c>
      <c r="D9" s="135" t="n">
        <v>3831</v>
      </c>
      <c r="E9" s="135" t="n">
        <v>4067</v>
      </c>
      <c r="F9" s="135" t="n">
        <v>4318</v>
      </c>
      <c r="G9" s="135" t="n">
        <v>4583</v>
      </c>
    </row>
    <row r="11">
      <c r="A11" s="127" t="inlineStr">
        <is>
          <t>EBIT MARGIN BUILD-UP (per §11 + §3.2 peer-gap closure framing)</t>
        </is>
      </c>
      <c r="B11" s="128" t="n"/>
      <c r="C11" s="128" t="n"/>
      <c r="D11" s="128" t="n"/>
      <c r="E11" s="128" t="n"/>
      <c r="F11" s="128" t="n"/>
      <c r="G11" s="128" t="n"/>
    </row>
    <row r="12">
      <c r="A12" s="129" t="inlineStr">
        <is>
          <t>Base EBIT margin (FY26 normalised, per financials YAML)</t>
        </is>
      </c>
      <c r="B12" s="136" t="n">
        <v>0.141</v>
      </c>
      <c r="C12" s="136" t="n">
        <v>0.141</v>
      </c>
      <c r="D12" s="136" t="n">
        <v>0.141</v>
      </c>
      <c r="E12" s="136" t="n">
        <v>0.141</v>
      </c>
      <c r="F12" s="136" t="n">
        <v>0.141</v>
      </c>
      <c r="G12" s="136" t="n">
        <v>0.141</v>
      </c>
    </row>
    <row r="13">
      <c r="A13" s="129" t="inlineStr">
        <is>
          <t>Plus: peer-gap closure overlay cumulative bps (mechanism: post-demerger transformation; target Orica franchise levels)</t>
        </is>
      </c>
      <c r="B13" s="137" t="n">
        <v>0</v>
      </c>
      <c r="C13" s="137" t="n">
        <v>60</v>
      </c>
      <c r="D13" s="137" t="n">
        <v>180</v>
      </c>
      <c r="E13" s="137" t="n">
        <v>200</v>
      </c>
      <c r="F13" s="137" t="n">
        <v>200</v>
      </c>
      <c r="G13" s="137" t="n">
        <v>200</v>
      </c>
    </row>
    <row r="14">
      <c r="A14" s="129" t="inlineStr">
        <is>
          <t>Plus: gas-contract roll-off overlay cumulative bps (US gas contracts 2028-2030)</t>
        </is>
      </c>
      <c r="B14" s="137" t="n">
        <v>0</v>
      </c>
      <c r="C14" s="137" t="n">
        <v>0</v>
      </c>
      <c r="D14" s="137" t="n">
        <v>0</v>
      </c>
      <c r="E14" s="137" t="n">
        <v>-50</v>
      </c>
      <c r="F14" s="137" t="n">
        <v>-100</v>
      </c>
      <c r="G14" s="137" t="n">
        <v>-150</v>
      </c>
    </row>
    <row r="15">
      <c r="A15" s="132">
        <f> EBIT margin</f>
        <v/>
      </c>
      <c r="B15" s="138" t="n">
        <v>0.141</v>
      </c>
      <c r="C15" s="138" t="n">
        <v>0.147</v>
      </c>
      <c r="D15" s="138" t="n">
        <v>0.159</v>
      </c>
      <c r="E15" s="138" t="n">
        <v>0.156</v>
      </c>
      <c r="F15" s="138" t="n">
        <v>0.151</v>
      </c>
      <c r="G15" s="138" t="n">
        <v>0.146</v>
      </c>
    </row>
    <row r="16">
      <c r="A16" s="134" t="inlineStr">
        <is>
          <t>EBIT (AUD m, computed)</t>
        </is>
      </c>
      <c r="B16" s="135" t="n">
        <v>168</v>
      </c>
      <c r="C16" s="135" t="n">
        <v>531</v>
      </c>
      <c r="D16" s="135" t="n">
        <v>609</v>
      </c>
      <c r="E16" s="135" t="n">
        <v>635</v>
      </c>
      <c r="F16" s="135" t="n">
        <v>652</v>
      </c>
      <c r="G16" s="135" t="n">
        <v>669</v>
      </c>
    </row>
    <row r="18">
      <c r="A18" s="139" t="inlineStr">
        <is>
          <t>Cross-reference: detailed DCF computation continues on the 'DCF Worksheet' tab (v4 structure, unchanged).</t>
        </is>
      </c>
    </row>
    <row r="19">
      <c r="A19" s="139" t="inlineStr">
        <is>
          <t>v4 used β=1.15 → WACC=8.82%. v5 uses β=1.10 (peer-triangulated per §3.5.3) → WACC≈8.68%. Per-share value impact ~+AUD 0.05.</t>
        </is>
      </c>
    </row>
  </sheetData>
  <mergeCells count="2">
    <mergeCell ref="A18:H18"/>
    <mergeCell ref="A19:H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66" min="1" max="1"/>
    <col width="12" customWidth="1" style="66" min="2" max="8"/>
    <col width="38" customWidth="1" style="66" min="9" max="9"/>
  </cols>
  <sheetData>
    <row r="1" ht="16.15" customHeight="1" s="67">
      <c r="A1" s="95" t="inlineStr">
        <is>
          <t>DNL DCF v4 — Muddle Through (stub + 5-yr explicit + Gordon-growth terminal)</t>
        </is>
      </c>
    </row>
    <row r="3" ht="19.5" customHeight="1" s="67">
      <c r="A3" s="73" t="inlineStr">
        <is>
          <t>Line</t>
        </is>
      </c>
      <c r="B3" s="74" t="inlineStr">
        <is>
          <t>Stub</t>
        </is>
      </c>
      <c r="C3" s="74" t="inlineStr">
        <is>
          <t>Y1 FY27</t>
        </is>
      </c>
      <c r="D3" s="74" t="inlineStr">
        <is>
          <t>Y2 FY28</t>
        </is>
      </c>
      <c r="E3" s="74" t="inlineStr">
        <is>
          <t>Y3 FY29</t>
        </is>
      </c>
      <c r="F3" s="74" t="inlineStr">
        <is>
          <t>Y4 FY30</t>
        </is>
      </c>
      <c r="G3" s="74" t="inlineStr">
        <is>
          <t>Y5 FY31</t>
        </is>
      </c>
      <c r="H3" s="74" t="inlineStr">
        <is>
          <t>Terminal</t>
        </is>
      </c>
      <c r="I3" s="74" t="inlineStr">
        <is>
          <t>Notes</t>
        </is>
      </c>
    </row>
    <row r="5" ht="21.75" customHeight="1" s="67">
      <c r="A5" s="75" t="inlineStr">
        <is>
          <t>INPUTS (from P&amp;L + tax bridge)</t>
        </is>
      </c>
      <c r="B5" s="76" t="n"/>
      <c r="C5" s="76" t="n"/>
      <c r="D5" s="76" t="n"/>
      <c r="E5" s="76" t="n"/>
      <c r="F5" s="76" t="n"/>
      <c r="G5" s="76" t="n"/>
      <c r="H5" s="76" t="n"/>
      <c r="I5" s="76" t="n"/>
    </row>
    <row r="6" ht="15" customHeight="1" s="67">
      <c r="A6" s="96" t="inlineStr">
        <is>
          <t>Revenue (AUD m)</t>
        </is>
      </c>
      <c r="B6" s="103">
        <f>Assumptions!$B$6*Assumptions!$B$9</f>
        <v/>
      </c>
      <c r="C6" s="103">
        <f>'P&amp;L Summary'!G6</f>
        <v/>
      </c>
      <c r="D6" s="103">
        <f>'P&amp;L Summary'!H6</f>
        <v/>
      </c>
      <c r="E6" s="103">
        <f>'P&amp;L Summary'!I6</f>
        <v/>
      </c>
      <c r="F6" s="103">
        <f>'P&amp;L Summary'!J6</f>
        <v/>
      </c>
      <c r="G6" s="103">
        <f>'P&amp;L Summary'!K6</f>
        <v/>
      </c>
    </row>
    <row r="7" ht="15" customHeight="1" s="67">
      <c r="A7" s="96" t="inlineStr">
        <is>
          <t>EBIT margin</t>
        </is>
      </c>
      <c r="B7" s="105">
        <f>Assumptions!$B$10</f>
        <v/>
      </c>
      <c r="C7" s="105">
        <f>'P&amp;L Summary'!G9</f>
        <v/>
      </c>
      <c r="D7" s="105">
        <f>'P&amp;L Summary'!H9</f>
        <v/>
      </c>
      <c r="E7" s="105">
        <f>'P&amp;L Summary'!I9</f>
        <v/>
      </c>
      <c r="F7" s="105">
        <f>'P&amp;L Summary'!J9</f>
        <v/>
      </c>
      <c r="G7" s="105">
        <f>'P&amp;L Summary'!K9</f>
        <v/>
      </c>
    </row>
    <row r="8" ht="15" customHeight="1" s="67">
      <c r="A8" s="70" t="inlineStr">
        <is>
          <t>EBIT</t>
        </is>
      </c>
      <c r="B8" s="107">
        <f>B6*B7</f>
        <v/>
      </c>
      <c r="C8" s="107">
        <f>C6*C7</f>
        <v/>
      </c>
      <c r="D8" s="107">
        <f>D6*D7</f>
        <v/>
      </c>
      <c r="E8" s="107">
        <f>E6*E7</f>
        <v/>
      </c>
      <c r="F8" s="107">
        <f>F6*F7</f>
        <v/>
      </c>
      <c r="G8" s="107">
        <f>G6*G7</f>
        <v/>
      </c>
    </row>
    <row r="9" ht="15" customHeight="1" s="67">
      <c r="A9" s="96" t="inlineStr">
        <is>
          <t>Applied tax rate</t>
        </is>
      </c>
      <c r="B9" s="105">
        <f>Assumptions!$B$59</f>
        <v/>
      </c>
      <c r="C9" s="140">
        <f>'Tax Bridge'!$B$12</f>
        <v/>
      </c>
      <c r="D9" s="140">
        <f>'Tax Bridge'!$B$13</f>
        <v/>
      </c>
      <c r="E9" s="140">
        <f>'Tax Bridge'!$B$14</f>
        <v/>
      </c>
      <c r="F9" s="140">
        <f>'Tax Bridge'!$B$15</f>
        <v/>
      </c>
      <c r="G9" s="140">
        <f>'Tax Bridge'!$B$16</f>
        <v/>
      </c>
    </row>
    <row r="11" ht="21.75" customHeight="1" s="67">
      <c r="A11" s="75" t="inlineStr">
        <is>
          <t>FCF BRIDGE</t>
        </is>
      </c>
      <c r="B11" s="76" t="n"/>
      <c r="C11" s="76" t="n"/>
      <c r="D11" s="76" t="n"/>
      <c r="E11" s="76" t="n"/>
      <c r="F11" s="76" t="n"/>
      <c r="G11" s="76" t="n"/>
      <c r="H11" s="76" t="n"/>
      <c r="I11" s="76" t="n"/>
    </row>
    <row r="12" ht="15" customHeight="1" s="67">
      <c r="A12" s="96" t="inlineStr">
        <is>
          <t>Less: tax on EBIT</t>
        </is>
      </c>
      <c r="B12" s="104">
        <f>-B8*B9</f>
        <v/>
      </c>
      <c r="C12" s="104">
        <f>-C8*C9</f>
        <v/>
      </c>
      <c r="D12" s="104">
        <f>-D8*D9</f>
        <v/>
      </c>
      <c r="E12" s="104">
        <f>-E8*E9</f>
        <v/>
      </c>
      <c r="F12" s="104">
        <f>-F8*F9</f>
        <v/>
      </c>
      <c r="G12" s="104">
        <f>-G8*G9</f>
        <v/>
      </c>
    </row>
    <row r="13" ht="15" customHeight="1" s="67">
      <c r="A13" s="70" t="inlineStr">
        <is>
          <t>NOPAT</t>
        </is>
      </c>
      <c r="B13" s="107">
        <f>B8+B12</f>
        <v/>
      </c>
      <c r="C13" s="107">
        <f>C8+C12</f>
        <v/>
      </c>
      <c r="D13" s="107">
        <f>D8+D12</f>
        <v/>
      </c>
      <c r="E13" s="107">
        <f>E8+E12</f>
        <v/>
      </c>
      <c r="F13" s="107">
        <f>F8+F12</f>
        <v/>
      </c>
      <c r="G13" s="107">
        <f>G8+G12</f>
        <v/>
      </c>
    </row>
    <row r="14" ht="15" customHeight="1" s="67">
      <c r="A14" s="96" t="inlineStr">
        <is>
          <t>Plus: D&amp;A</t>
        </is>
      </c>
      <c r="B14" s="104">
        <f>B6*Assumptions!$B$13</f>
        <v/>
      </c>
      <c r="C14" s="104">
        <f>C6*Assumptions!$B$13</f>
        <v/>
      </c>
      <c r="D14" s="104">
        <f>D6*Assumptions!$B$13</f>
        <v/>
      </c>
      <c r="E14" s="104">
        <f>E6*Assumptions!$B$13</f>
        <v/>
      </c>
      <c r="F14" s="104">
        <f>F6*Assumptions!$B$13</f>
        <v/>
      </c>
      <c r="G14" s="104">
        <f>G6*Assumptions!$B$13</f>
        <v/>
      </c>
    </row>
    <row r="15" ht="15" customHeight="1" s="67">
      <c r="A15" s="96" t="inlineStr">
        <is>
          <t>Less: capex</t>
        </is>
      </c>
      <c r="B15" s="104">
        <f>-B6*Assumptions!$B$12</f>
        <v/>
      </c>
      <c r="C15" s="104">
        <f>-C6*Assumptions!$B$12</f>
        <v/>
      </c>
      <c r="D15" s="104">
        <f>-D6*Assumptions!$B$12</f>
        <v/>
      </c>
      <c r="E15" s="104">
        <f>-E6*Assumptions!$B$11</f>
        <v/>
      </c>
      <c r="F15" s="104">
        <f>-F6*Assumptions!$B$11</f>
        <v/>
      </c>
      <c r="G15" s="104">
        <f>-G6*Assumptions!$B$11</f>
        <v/>
      </c>
    </row>
    <row r="16" ht="15" customHeight="1" s="67">
      <c r="A16" s="96" t="inlineStr">
        <is>
          <t>Less: change in WC</t>
        </is>
      </c>
      <c r="B16" s="104">
        <f>-Assumptions!$B$14</f>
        <v/>
      </c>
      <c r="C16" s="104">
        <f>-Assumptions!$B$14</f>
        <v/>
      </c>
      <c r="D16" s="104">
        <f>-Assumptions!$B$14</f>
        <v/>
      </c>
      <c r="E16" s="104">
        <f>-Assumptions!$B$14</f>
        <v/>
      </c>
      <c r="F16" s="104">
        <f>-Assumptions!$B$14</f>
        <v/>
      </c>
      <c r="G16" s="104">
        <f>-Assumptions!$B$14</f>
        <v/>
      </c>
    </row>
    <row r="17" ht="15" customHeight="1" s="67">
      <c r="A17" s="70" t="inlineStr">
        <is>
          <t>Unlevered FCFF</t>
        </is>
      </c>
      <c r="B17" s="107">
        <f>SUM(B13:B16)</f>
        <v/>
      </c>
      <c r="C17" s="107">
        <f>SUM(C13:C16)</f>
        <v/>
      </c>
      <c r="D17" s="107">
        <f>SUM(D13:D16)</f>
        <v/>
      </c>
      <c r="E17" s="107">
        <f>SUM(E13:E16)</f>
        <v/>
      </c>
      <c r="F17" s="107">
        <f>SUM(F13:F16)</f>
        <v/>
      </c>
      <c r="G17" s="107">
        <f>SUM(G13:G16)</f>
        <v/>
      </c>
    </row>
    <row r="19" ht="21.75" customHeight="1" s="67">
      <c r="A19" s="75" t="inlineStr">
        <is>
          <t>DISCOUNTING (mid-period, from valuation date)</t>
        </is>
      </c>
      <c r="B19" s="76" t="n"/>
      <c r="C19" s="76" t="n"/>
      <c r="D19" s="76" t="n"/>
      <c r="E19" s="76" t="n"/>
      <c r="F19" s="76" t="n"/>
      <c r="G19" s="76" t="n"/>
      <c r="H19" s="76" t="n"/>
      <c r="I19" s="76" t="n"/>
    </row>
    <row r="20" ht="15" customHeight="1" s="67">
      <c r="A20" s="96" t="inlineStr">
        <is>
          <t>WACC</t>
        </is>
      </c>
      <c r="B20" s="140">
        <f>'WACC Build'!$B$24</f>
        <v/>
      </c>
      <c r="C20" s="140">
        <f>'WACC Build'!$B$24</f>
        <v/>
      </c>
      <c r="D20" s="140">
        <f>'WACC Build'!$B$24</f>
        <v/>
      </c>
      <c r="E20" s="140">
        <f>'WACC Build'!$B$24</f>
        <v/>
      </c>
      <c r="F20" s="140">
        <f>'WACC Build'!$B$24</f>
        <v/>
      </c>
      <c r="G20" s="140">
        <f>'WACC Build'!$B$24</f>
        <v/>
      </c>
    </row>
    <row r="21" ht="15" customHeight="1" s="67">
      <c r="A21" s="96" t="inlineStr">
        <is>
          <t>Time to mid-cash-flow (yrs)</t>
        </is>
      </c>
      <c r="B21" s="141">
        <f>Assumptions!$B$6/2</f>
        <v/>
      </c>
      <c r="C21" s="141">
        <f>Assumptions!$B$6+1-0.5</f>
        <v/>
      </c>
      <c r="D21" s="141">
        <f>Assumptions!$B$6+2-0.5</f>
        <v/>
      </c>
      <c r="E21" s="141">
        <f>Assumptions!$B$6+3-0.5</f>
        <v/>
      </c>
      <c r="F21" s="141">
        <f>Assumptions!$B$6+4-0.5</f>
        <v/>
      </c>
      <c r="G21" s="141">
        <f>Assumptions!$B$6+5-0.5</f>
        <v/>
      </c>
    </row>
    <row r="22" ht="15" customHeight="1" s="67">
      <c r="A22" s="96" t="inlineStr">
        <is>
          <t>Discount factor</t>
        </is>
      </c>
      <c r="B22" s="142">
        <f>1/(1+B20)^B21</f>
        <v/>
      </c>
      <c r="C22" s="142">
        <f>1/(1+C20)^C21</f>
        <v/>
      </c>
      <c r="D22" s="142">
        <f>1/(1+D20)^D21</f>
        <v/>
      </c>
      <c r="E22" s="142">
        <f>1/(1+E20)^E21</f>
        <v/>
      </c>
      <c r="F22" s="142">
        <f>1/(1+F20)^F21</f>
        <v/>
      </c>
      <c r="G22" s="142">
        <f>1/(1+G20)^G21</f>
        <v/>
      </c>
    </row>
    <row r="23" ht="15" customHeight="1" s="67">
      <c r="A23" s="70" t="inlineStr">
        <is>
          <t>PV of FCFF</t>
        </is>
      </c>
      <c r="B23" s="107">
        <f>B17*B22</f>
        <v/>
      </c>
      <c r="C23" s="107">
        <f>C17*C22</f>
        <v/>
      </c>
      <c r="D23" s="107">
        <f>D17*D22</f>
        <v/>
      </c>
      <c r="E23" s="107">
        <f>E17*E22</f>
        <v/>
      </c>
      <c r="F23" s="107">
        <f>F17*F22</f>
        <v/>
      </c>
      <c r="G23" s="107">
        <f>G17*G22</f>
        <v/>
      </c>
    </row>
    <row r="25" ht="21.75" customHeight="1" s="67">
      <c r="A25" s="75" t="inlineStr">
        <is>
          <t>TERMINAL VALUE (Gordon growth; terminal at blended statutory tax)</t>
        </is>
      </c>
      <c r="B25" s="76" t="n"/>
      <c r="C25" s="76" t="n"/>
      <c r="D25" s="76" t="n"/>
      <c r="E25" s="76" t="n"/>
      <c r="F25" s="76" t="n"/>
      <c r="G25" s="76" t="n"/>
      <c r="H25" s="76" t="n"/>
      <c r="I25" s="76" t="n"/>
    </row>
    <row r="26" ht="15" customHeight="1" s="67">
      <c r="A26" s="96" t="inlineStr">
        <is>
          <t>Terminal growth</t>
        </is>
      </c>
      <c r="H26" s="140">
        <f>Assumptions!$B$77</f>
        <v/>
      </c>
    </row>
    <row r="27" ht="15" customHeight="1" s="67">
      <c r="A27" s="96" t="inlineStr">
        <is>
          <t>Terminal-year FCF (Y5 x (1+g))</t>
        </is>
      </c>
      <c r="H27" s="104">
        <f>G17*(1+H26)</f>
        <v/>
      </c>
    </row>
    <row r="28" ht="15" customHeight="1" s="67">
      <c r="A28" s="70" t="inlineStr">
        <is>
          <t>Terminal value (TFCF / (WACC-g))</t>
        </is>
      </c>
      <c r="H28" s="107">
        <f>H27/(G20-H26)</f>
        <v/>
      </c>
    </row>
    <row r="29" ht="15" customHeight="1" s="67">
      <c r="A29" s="96" t="inlineStr">
        <is>
          <t>Time to end Y5 (yrs)</t>
        </is>
      </c>
      <c r="H29" s="141">
        <f>Assumptions!$B$6+Assumptions!$B$78</f>
        <v/>
      </c>
    </row>
    <row r="30" ht="15" customHeight="1" s="67">
      <c r="A30" s="96" t="inlineStr">
        <is>
          <t>Discount factor at end Y5</t>
        </is>
      </c>
      <c r="H30" s="142">
        <f>1/(1+G20)^H29</f>
        <v/>
      </c>
    </row>
    <row r="31" ht="15" customHeight="1" s="67">
      <c r="A31" s="70" t="inlineStr">
        <is>
          <t>PV of terminal value</t>
        </is>
      </c>
      <c r="H31" s="107">
        <f>H28*H30</f>
        <v/>
      </c>
    </row>
    <row r="33" ht="21.75" customHeight="1" s="67">
      <c r="A33" s="75" t="inlineStr">
        <is>
          <t>ENTERPRISE VALUE</t>
        </is>
      </c>
      <c r="B33" s="76" t="n"/>
      <c r="C33" s="76" t="n"/>
      <c r="D33" s="76" t="n"/>
      <c r="E33" s="76" t="n"/>
      <c r="F33" s="76" t="n"/>
      <c r="G33" s="76" t="n"/>
      <c r="H33" s="76" t="n"/>
      <c r="I33" s="76" t="n"/>
    </row>
    <row r="34" ht="15" customHeight="1" s="67">
      <c r="A34" s="96" t="inlineStr">
        <is>
          <t>Sum PV explicit FCFF (stub + Y1-Y5)</t>
        </is>
      </c>
      <c r="H34" s="104">
        <f>SUM(B23:G23)</f>
        <v/>
      </c>
    </row>
    <row r="35" ht="15" customHeight="1" s="67">
      <c r="A35" s="96" t="inlineStr">
        <is>
          <t>Plus: PV terminal</t>
        </is>
      </c>
      <c r="H35" s="104">
        <f>H31</f>
        <v/>
      </c>
    </row>
    <row r="36" ht="17.35" customHeight="1" s="67">
      <c r="A36" s="143" t="inlineStr">
        <is>
          <t>Enterprise value (EV)</t>
        </is>
      </c>
      <c r="H36" s="144">
        <f>H34+H35</f>
        <v/>
      </c>
    </row>
    <row r="37" ht="15" customHeight="1" s="67">
      <c r="A37" s="96" t="inlineStr">
        <is>
          <t>Terminal share of EV (diagnostic)</t>
        </is>
      </c>
      <c r="H37" s="106">
        <f>H35/H36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0" customWidth="1" style="66" min="1" max="1"/>
    <col width="18" customWidth="1" style="66" min="2" max="3"/>
    <col width="55" customWidth="1" style="66" min="4" max="4"/>
  </cols>
  <sheetData>
    <row r="1" ht="16.15" customHeight="1" s="67">
      <c r="A1" s="95" t="inlineStr">
        <is>
          <t>DNL Equity Bridge v4 — full Fertilisers separation map (per slide 29) + Q6/Q8 corrections</t>
        </is>
      </c>
    </row>
    <row r="3" ht="19.5" customHeight="1" s="67">
      <c r="A3" s="73" t="inlineStr">
        <is>
          <t>Line</t>
        </is>
      </c>
      <c r="B3" s="74" t="inlineStr">
        <is>
          <t>Component</t>
        </is>
      </c>
      <c r="C3" s="74" t="inlineStr">
        <is>
          <t>Running</t>
        </is>
      </c>
      <c r="D3" s="74" t="inlineStr">
        <is>
          <t>Notes</t>
        </is>
      </c>
    </row>
    <row r="5" ht="21.75" customHeight="1" s="67">
      <c r="A5" s="75" t="inlineStr">
        <is>
          <t>PERIOD A WALK (anchor -&gt; valuation date; Q6 + Q8 corrections)</t>
        </is>
      </c>
      <c r="B5" s="76" t="n"/>
      <c r="C5" s="76" t="n"/>
      <c r="D5" s="76" t="n"/>
    </row>
    <row r="6" ht="15" customHeight="1" s="67">
      <c r="A6" s="96" t="inlineStr">
        <is>
          <t>Net debt at 31 Mar 2026 (anchor)</t>
        </is>
      </c>
      <c r="B6" s="103">
        <f>Assumptions!$B$74</f>
        <v/>
      </c>
      <c r="D6" s="96" t="inlineStr">
        <is>
          <t>From Assumptions.</t>
        </is>
      </c>
    </row>
    <row r="7" ht="26.85" customHeight="1" s="67">
      <c r="A7" s="96" t="inlineStr">
        <is>
          <t xml:space="preserve">  less: operating cash flow in Period A (Q6 fix)</t>
        </is>
      </c>
      <c r="B7" s="104">
        <f>-Assumptions!$B$86*Assumptions!$B$85</f>
        <v/>
      </c>
      <c r="D7" s="71" t="inlineStr">
        <is>
          <t>Q6 fix: underlying OCF rate AUD 500m/yr (was AUD 290m in v3, which understated by ~AUD 30m).</t>
        </is>
      </c>
    </row>
    <row r="8" ht="15" customHeight="1" s="67">
      <c r="A8" s="96" t="inlineStr">
        <is>
          <t xml:space="preserve">  plus: capex paid in Period A</t>
        </is>
      </c>
      <c r="B8" s="104">
        <f>Assumptions!$B$87*Assumptions!$B$85</f>
        <v/>
      </c>
    </row>
    <row r="9" ht="15" customHeight="1" s="67">
      <c r="A9" s="145" t="inlineStr">
        <is>
          <t xml:space="preserve">  (Q8: no buyback adjustment - value-neutral per methodology section 5.2)</t>
        </is>
      </c>
    </row>
    <row r="10" ht="15" customHeight="1" s="67">
      <c r="A10" s="70" t="inlineStr">
        <is>
          <t>Net debt walk subtotal</t>
        </is>
      </c>
      <c r="B10" s="107">
        <f>SUM(B7:B8)</f>
        <v/>
      </c>
    </row>
    <row r="11" ht="15" customHeight="1" s="67">
      <c r="A11" s="70" t="inlineStr">
        <is>
          <t>Net debt at 25 May 2026 (valuation date)</t>
        </is>
      </c>
      <c r="C11" s="107">
        <f>B6+B10</f>
        <v/>
      </c>
    </row>
    <row r="13" ht="21.75" customHeight="1" s="67">
      <c r="A13" s="75" t="inlineStr">
        <is>
          <t>EQUITY-BRIDGE ADJUSTMENTS — Fertilisers separation per slide 29 (Q7)</t>
        </is>
      </c>
      <c r="B13" s="76" t="n"/>
      <c r="C13" s="76" t="n"/>
      <c r="D13" s="76" t="n"/>
    </row>
    <row r="14" ht="15" customHeight="1" s="67">
      <c r="A14" s="96" t="inlineStr">
        <is>
          <t>Plus: declared unpaid dividend (interim, 11 May 2026)</t>
        </is>
      </c>
      <c r="B14" s="103">
        <f>Assumptions!$B$90</f>
        <v/>
      </c>
      <c r="D14" s="96" t="inlineStr">
        <is>
          <t>4.6cps x 1,770m. Declared post-anchor (11 May 2026).</t>
        </is>
      </c>
    </row>
    <row r="15" ht="26.85" customHeight="1" s="67">
      <c r="A15" s="96" t="inlineStr">
        <is>
          <t>Plus: Phosphate Hill ARO (net of provided)</t>
        </is>
      </c>
      <c r="B15" s="103">
        <f>Assumptions!$B$93</f>
        <v/>
      </c>
      <c r="D15" s="71" t="inlineStr">
        <is>
          <t>Slide 29: AUD 126m at completion. AUD 82m provided (held for sale). Net AUD 44m.</t>
        </is>
      </c>
    </row>
    <row r="16" ht="15" customHeight="1" s="67">
      <c r="A16" s="96" t="inlineStr">
        <is>
          <t>Plus: Phosphate Hill inventory commitment</t>
        </is>
      </c>
      <c r="B16" s="103">
        <f>Assumptions!$B$94</f>
        <v/>
      </c>
      <c r="D16" s="96" t="inlineStr">
        <is>
          <t>Slide 29: ~AUD 80m inventory to Mayfair on completion.</t>
        </is>
      </c>
    </row>
    <row r="17" ht="15" customHeight="1" s="67">
      <c r="A17" s="96" t="inlineStr">
        <is>
          <t>Plus: restructure execution cash cost (transformation)</t>
        </is>
      </c>
      <c r="B17" s="103">
        <f>Assumptions!$B$95</f>
        <v/>
      </c>
      <c r="D17" s="96" t="inlineStr">
        <is>
          <t>Methodology section 4.4 consistency rule.</t>
        </is>
      </c>
    </row>
    <row r="18" ht="15" customHeight="1" s="67">
      <c r="A18" s="96" t="inlineStr">
        <is>
          <t>Plus: Geelong remediation (NEW per Q7)</t>
        </is>
      </c>
      <c r="B18" s="103">
        <f>Assumptions!$B$96</f>
        <v/>
      </c>
      <c r="D18" s="96" t="inlineStr">
        <is>
          <t>Slide 29: completion within 2 yrs of Sep 2025.</t>
        </is>
      </c>
    </row>
    <row r="19" ht="15" customHeight="1" s="67">
      <c r="A19" s="96" t="inlineStr">
        <is>
          <t>Plus: Gibson Island remediation (NEW per Q7)</t>
        </is>
      </c>
      <c r="B19" s="103">
        <f>Assumptions!$B$97</f>
        <v/>
      </c>
      <c r="D19" s="96" t="inlineStr">
        <is>
          <t>Slide 29: completion within ~3.5 yrs of Oct 2025.</t>
        </is>
      </c>
    </row>
    <row r="20" ht="15" customHeight="1" s="67">
      <c r="A20" s="96" t="inlineStr">
        <is>
          <t>Plus: transaction costs (NEW per Q7)</t>
        </is>
      </c>
      <c r="B20" s="103">
        <f>Assumptions!$B$98</f>
        <v/>
      </c>
      <c r="D20" s="96" t="inlineStr">
        <is>
          <t>Slide 29: outstanding selling/transaction/separation.</t>
        </is>
      </c>
    </row>
    <row r="21" ht="15" customHeight="1" s="67">
      <c r="A21" s="96" t="inlineStr">
        <is>
          <t>Less: Perdaman contingent receivable (prob-wt)</t>
        </is>
      </c>
      <c r="B21" s="103">
        <f>-Assumptions!$B$101</f>
        <v/>
      </c>
      <c r="D21" s="96" t="inlineStr">
        <is>
          <t>Slide 29: up to AUD 145m on milestones; 50% probability.</t>
        </is>
      </c>
    </row>
    <row r="22" ht="15" customHeight="1" s="67">
      <c r="A22" s="96" t="inlineStr">
        <is>
          <t>Less: IPF Distribution deferred (prob-wt) NEW</t>
        </is>
      </c>
      <c r="B22" s="103">
        <f>-Assumptions!$B$104</f>
        <v/>
      </c>
      <c r="D22" s="96" t="inlineStr">
        <is>
          <t>Slide 29: AUD 125m face (AUD 50m vendor note + AUD 75m Geelong deferred). 85% probability.</t>
        </is>
      </c>
    </row>
    <row r="23" ht="15" customHeight="1" s="67">
      <c r="A23" s="96" t="inlineStr">
        <is>
          <t>Less: Phosphate Hill contingent (prob-wt) NEW</t>
        </is>
      </c>
      <c r="B23" s="103">
        <f>-Assumptions!$B$107</f>
        <v/>
      </c>
      <c r="D23" s="96" t="inlineStr">
        <is>
          <t>Slide 29: up to AUD 100m on performance hurdles. 30% probability.</t>
        </is>
      </c>
    </row>
    <row r="24" ht="15" customHeight="1" s="67">
      <c r="A24" s="70" t="inlineStr">
        <is>
          <t>Total equity-bridge adjustments</t>
        </is>
      </c>
      <c r="B24" s="107">
        <f>SUM(B14:B23)</f>
        <v/>
      </c>
    </row>
    <row r="26" ht="21.75" customHeight="1" s="67">
      <c r="A26" s="75" t="inlineStr">
        <is>
          <t>VALUE PER SHARE</t>
        </is>
      </c>
      <c r="B26" s="76" t="n"/>
      <c r="C26" s="76" t="n"/>
      <c r="D26" s="76" t="n"/>
    </row>
    <row r="27" ht="15" customHeight="1" s="67">
      <c r="A27" s="96" t="inlineStr">
        <is>
          <t>Enterprise value (from DCF)</t>
        </is>
      </c>
      <c r="C27" s="103">
        <f>'DCF Worksheet'!H36</f>
        <v/>
      </c>
    </row>
    <row r="28" ht="15" customHeight="1" s="67">
      <c r="A28" s="96" t="inlineStr">
        <is>
          <t>Less: net debt at valuation date</t>
        </is>
      </c>
      <c r="C28" s="104">
        <f>-C11</f>
        <v/>
      </c>
    </row>
    <row r="29" ht="15" customHeight="1" s="67">
      <c r="A29" s="96" t="inlineStr">
        <is>
          <t>Less: equity-bridge adjustments (net)</t>
        </is>
      </c>
      <c r="C29" s="104">
        <f>-B24</f>
        <v/>
      </c>
    </row>
    <row r="30" ht="17.35" customHeight="1" s="67">
      <c r="A30" s="143" t="inlineStr">
        <is>
          <t>Equity value</t>
        </is>
      </c>
      <c r="C30" s="146">
        <f>C27+C28+C29</f>
        <v/>
      </c>
    </row>
    <row r="31" ht="15" customHeight="1" s="67">
      <c r="A31" s="96" t="inlineStr">
        <is>
          <t>Divided by shares outstanding (Q8: H1 anchor, no buyback projection)</t>
        </is>
      </c>
      <c r="C31" s="103">
        <f>Assumptions!$B$81</f>
        <v/>
      </c>
    </row>
    <row r="32" ht="19.7" customHeight="1" s="67">
      <c r="A32" s="147" t="inlineStr">
        <is>
          <t>VALUE PER SHARE</t>
        </is>
      </c>
      <c r="C32" s="148">
        <f>C30/C31</f>
        <v/>
      </c>
    </row>
    <row r="34" ht="21.75" customHeight="1" s="67">
      <c r="A34" s="75" t="inlineStr">
        <is>
          <t>MARKET CHECK</t>
        </is>
      </c>
      <c r="B34" s="76" t="n"/>
      <c r="C34" s="76" t="n"/>
      <c r="D34" s="76" t="n"/>
    </row>
    <row r="35" ht="15" customHeight="1" s="67">
      <c r="A35" s="96" t="inlineStr">
        <is>
          <t>Market reference per share</t>
        </is>
      </c>
      <c r="C35" s="149">
        <f>Assumptions!$B$110</f>
        <v/>
      </c>
    </row>
    <row r="36" ht="15" customHeight="1" s="67">
      <c r="A36" s="96" t="inlineStr">
        <is>
          <t>Discount / (premium) vs market</t>
        </is>
      </c>
      <c r="C36" s="106">
        <f>C32/C35-1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80" customWidth="1" style="66" min="2" max="2"/>
  </cols>
  <sheetData>
    <row r="1" ht="16.15" customHeight="1" s="67">
      <c r="A1" s="95" t="inlineStr">
        <is>
          <t>Sources — audit trail (per Q5 review)</t>
        </is>
      </c>
    </row>
    <row r="3" ht="15" customHeight="1" s="67">
      <c r="A3" s="73" t="inlineStr">
        <is>
          <t>Item</t>
        </is>
      </c>
      <c r="B3" s="73" t="inlineStr">
        <is>
          <t>Source</t>
        </is>
      </c>
    </row>
    <row r="4" ht="39.75" customHeight="1" s="67">
      <c r="A4" s="112" t="inlineStr">
        <is>
          <t>Base year revenue / EBIT guidance</t>
        </is>
      </c>
      <c r="B4" s="71" t="inlineStr">
        <is>
          <t>H1 FY26 Investor Presentation (11 May 2026) slides 11 (outlook), 27 (segment EBIT), 28 (transformation tracker including FY26 guidance AUD 460-500m, FY28 ambition AUD 600m, exit run rate AUD 495-525m).</t>
        </is>
      </c>
    </row>
    <row r="5" ht="39.75" customHeight="1" s="67">
      <c r="A5" s="112" t="inlineStr">
        <is>
          <t>Corporate cost treatment (Q1)</t>
        </is>
      </c>
      <c r="B5" s="71" t="inlineStr">
        <is>
          <t>H1 FY26 Investor Presentation slide 27 (Business Unit Performance — shows Corp &amp; elim of AUD -16m within Total Explosives EBIT, confirming corporate already netted in segment numbers).</t>
        </is>
      </c>
    </row>
    <row r="6" ht="39.75" customHeight="1" s="67">
      <c r="A6" s="112" t="inlineStr">
        <is>
          <t>H1 FY26 income statement</t>
        </is>
      </c>
      <c r="B6" s="71" t="inlineStr">
        <is>
          <t>H1 FY26 Half Year Results Announcement (11 May 2026) page 9 (Table 2 — Income Statement: Revenue AUD 1,898m; Operating margin AUD 514m; EBIT ex IMIs AUD 243m; Net debt AUD 1,261m).</t>
        </is>
      </c>
    </row>
    <row r="7" ht="39.75" customHeight="1" s="67">
      <c r="A7" s="112" t="inlineStr">
        <is>
          <t>Balance sheet figures (Q4/Q5)</t>
        </is>
      </c>
      <c r="B7" s="71" t="inlineStr">
        <is>
          <t>H1 FY26 Half Year Results Announcement page 11 (Table 4 — net working capital presentation, total AUD 5,863m). Full statutory BS (AUD 6,997.7m gross) from the Half-Year Financial Report (published with the announcement). Difference (~AUD 1,135m) is gross-up of TWC items.</t>
        </is>
      </c>
    </row>
    <row r="8" ht="39.75" customHeight="1" s="67">
      <c r="A8" s="112" t="inlineStr">
        <is>
          <t>Environmental &amp; restructure liabilities (Q5)</t>
        </is>
      </c>
      <c r="B8" s="71" t="inlineStr">
        <is>
          <t>H1 FY26 Half Year Results Announcement page 11 (AUD 249.3m); composition explained on page 12 — includes Phosphate Hill ARO AUD 82m reclassified to Held for Sale, Geelong remediation accruals AUD ~33m, transformation provisions.</t>
        </is>
      </c>
    </row>
    <row r="9" ht="39.75" customHeight="1" s="67">
      <c r="A9" s="112" t="inlineStr">
        <is>
          <t>Lease liabilities (Q5)</t>
        </is>
      </c>
      <c r="B9" s="71" t="inlineStr">
        <is>
          <t>H1 FY26 Half Year Results Announcement page 11 (AUD 194.3m); AASB 16 lease liabilities. Composition in Half-Year Financial Report notes.</t>
        </is>
      </c>
    </row>
    <row r="10" ht="39.75" customHeight="1" s="67">
      <c r="A10" s="112" t="inlineStr">
        <is>
          <t>Operating cash flow (Q6)</t>
        </is>
      </c>
      <c r="B10" s="71" t="inlineStr">
        <is>
          <t>H1 FY26 Half Year Results Announcement page 14 (Table 8 — Cash Flow); H1 OCF AUD 145m with commentary on AUD 226m differential in TWC facility utilisation vs pcp.</t>
        </is>
      </c>
    </row>
    <row r="11" ht="39.75" customHeight="1" s="67">
      <c r="A11" s="112" t="inlineStr">
        <is>
          <t>Buyback (Q8)</t>
        </is>
      </c>
      <c r="B11" s="71" t="inlineStr">
        <is>
          <t>H1 FY26 Half Year Results Announcement page 14 (financing cash flow); AUD 558m of AUD 900m program complete by 11 May 2026; AUD 342m remaining; buyback resumed 12 May 2026.</t>
        </is>
      </c>
    </row>
    <row r="12" ht="39.75" customHeight="1" s="67">
      <c r="A12" s="112" t="inlineStr">
        <is>
          <t>Fertilisers separation cash flows (Q7)</t>
        </is>
      </c>
      <c r="B12" s="71" t="inlineStr">
        <is>
          <t>H1 FY26 Investor Presentation slide 29 (Fertilisers separation cash flows): IPF Distribution +AUD 125m, Perdaman +AUD 145m, Geelong remediation -AUD 35m, Gibson Island remediation -AUD 97m, Phosphate Hill ARO -AUD 126m, transaction costs -AUD 11m, Phosphate Hill contingent +AUD 100m.</t>
        </is>
      </c>
    </row>
    <row r="13" ht="39.75" customHeight="1" s="67">
      <c r="A13" s="112" t="inlineStr">
        <is>
          <t>WACC — risk-free rate (Q9)</t>
        </is>
      </c>
      <c r="B13" s="71" t="inlineStr">
        <is>
          <t>10-year on-the-run Commonwealth of Australia government bond yield, May 2026; Bloomberg ticker GACGB10 Index or RBA F2 series.</t>
        </is>
      </c>
    </row>
    <row r="14" ht="39.75" customHeight="1" s="67">
      <c r="A14" s="112" t="inlineStr">
        <is>
          <t>WACC — beta (Q9)</t>
        </is>
      </c>
      <c r="B14" s="71" t="inlineStr">
        <is>
          <t>World-index basis: Damodaran industry beta data (Chemical-Specialty / Basic) cross-checked with Orica (ASX:ORI) and pre-demerger IPL observed beta. Sensitivity: ASX200 basis ~1.05-1.10.</t>
        </is>
      </c>
    </row>
    <row r="15" ht="39.75" customHeight="1" s="67">
      <c r="A15" s="112" t="inlineStr">
        <is>
          <t>Tax rate effective (Q9 + Tax discussion)</t>
        </is>
      </c>
      <c r="B15" s="71" t="inlineStr">
        <is>
          <t>FY26 guidance midpoint 20-25% (= 22.5%) per H1 FY26 Investor Presentation slide 11.</t>
        </is>
      </c>
    </row>
    <row r="16" ht="39.75" customHeight="1" s="67">
      <c r="A16" s="112" t="inlineStr">
        <is>
          <t>Tax rate blended statutory (Tax discussion)</t>
        </is>
      </c>
      <c r="B16" s="71" t="inlineStr">
        <is>
          <t>Computed from jurisdictional revenue weights x statutory rates: US (55% x 26%) + Australia (35% x 30%) + EMEA/LATAM (10% x 27%) = 27.5%.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2026-06-09T04:38:23Z</dcterms:created>
  <dcterms:modified xmlns:dcterms="http://purl.org/dc/terms/" xmlns:xsi="http://www.w3.org/2001/XMLSchema-instance" xsi:type="dcterms:W3CDTF">2026-06-18T01:05:12Z</dcterms:modified>
  <cp:revision>0</cp:revision>
</cp:coreProperties>
</file>