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Tax Bridge" sheetId="3" state="visible" r:id="rId5"/>
    <sheet name="P&amp;L Summary" sheetId="4" state="visible" r:id="rId6"/>
    <sheet name="Balance Sheet" sheetId="5" state="visible" r:id="rId7"/>
    <sheet name="WACC Build" sheetId="6" state="visible" r:id="rId8"/>
    <sheet name="IMI Register" sheetId="7" state="visible" r:id="rId9"/>
    <sheet name="DCF Worksheet" sheetId="8" state="visible" r:id="rId10"/>
    <sheet name="Equity Bridge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<sst xmlns="http://schemas.openxmlformats.org/spreadsheetml/2006/main" count="584" uniqueCount="480">
  <si>
    <t xml:space="preserve">Dyno Nobel Limited (DNL.AU) — Muddle Through valuation v4 (29 May 2026)</t>
  </si>
  <si>
    <t xml:space="preserve">Scenario:</t>
  </si>
  <si>
    <t xml:space="preserve">Muddle Through (interior, most-likely)</t>
  </si>
  <si>
    <t xml:space="preserve">Valuation date:</t>
  </si>
  <si>
    <t xml:space="preserve">25 May 2026</t>
  </si>
  <si>
    <t xml:space="preserve">Anchor date (financials):</t>
  </si>
  <si>
    <t xml:space="preserve">31 March 2026 (H1 FY26)</t>
  </si>
  <si>
    <t xml:space="preserve">Headline per share:</t>
  </si>
  <si>
    <t xml:space="preserve">AUD 3.57 (vs market AUD 3.61, -1.2%)</t>
  </si>
  <si>
    <t xml:space="preserve">What changed in v4 (review feedback):</t>
  </si>
  <si>
    <t xml:space="preserve">  Q1 — Base EBIT</t>
  </si>
  <si>
    <t xml:space="preserve">Corrected to AUD 480m (was AUD 440m). Slide 27 + 28 confirm guidance is Total Dyno Nobel underlying, with corporate already deducted at segment level. Base margin 14.1% (was 12.9%).</t>
  </si>
  <si>
    <t xml:space="preserve">  Q2/Q3 — Margin glide reconciled</t>
  </si>
  <si>
    <t xml:space="preserve">Y1 transformation delta lowered to +60bps; FY27 lands at ~AUD 530m (mid-upper exit run-rate AUD 495-525m). FY28 +180bps reaches AUD 600m ambition.</t>
  </si>
  <si>
    <t xml:space="preserve">  Q6 — OCF run rate</t>
  </si>
  <si>
    <t xml:space="preserve">Period A walk-forward uses AUD 500m underlying (H1 AUD 145m grossed up for one-off TWC unwind), not AUD 290m simple-double.</t>
  </si>
  <si>
    <t xml:space="preserve">  Q7 — Fertilisers separation cash flows</t>
  </si>
  <si>
    <t xml:space="preserve">Slide 29 list complete: added IPF Distribution deferred +AUD 125m (prob-weighted), Geelong remediation -AUD 35m, Gibson Island remediation -AUD 97m, transaction costs -AUD 11m, Phosphate Hill contingent +AUD 100m (prob-weighted at 30%).</t>
  </si>
  <si>
    <t xml:space="preserve">  Q8 — Buyback inconsistency</t>
  </si>
  <si>
    <t xml:space="preserve">Removed Period A buyback adjustment. Per methodology section 5.2 (on-market buyback at fair value is value-neutral). Share count and net debt both at 31 March 2026 anchor.</t>
  </si>
  <si>
    <t xml:space="preserve">  WACC (i) — Hamada</t>
  </si>
  <si>
    <t xml:space="preserve">Confirmed: re-lever using Hamada with marginal-rate tax shield (30%).</t>
  </si>
  <si>
    <t xml:space="preserve">  WACC (ii) — World index</t>
  </si>
  <si>
    <t xml:space="preserve">Beta convention now AUD-MSCI World as primary for companies with &gt;30% non-Australian revenue. DNL beta: 0.95 (vs 1.15 ASX200 in v3).</t>
  </si>
  <si>
    <t xml:space="preserve">  WACC (iii) — Lower WACC</t>
  </si>
  <si>
    <t xml:space="preserve">Applied WACC drops 9.16% -&gt; 8.25%. Dominant mover for the change in per-share value.</t>
  </si>
  <si>
    <t xml:space="preserve">  Tax — Effective glides to blended statutory</t>
  </si>
  <si>
    <t xml:space="preserve">Effective 22.5% (Y1) -&gt; blended statutory 27.5% (Y5/terminal), linear glide. Blended statutory = sum of jurisdictional weights x statutory rates. Captures structural US-mix advantage (persistent ~2.5pp gap to AU statutory).</t>
  </si>
  <si>
    <t xml:space="preserve">New tabs in v4:</t>
  </si>
  <si>
    <t xml:space="preserve">  Tax Bridge</t>
  </si>
  <si>
    <t xml:space="preserve">Jurisdictional weights table + tax glide path.</t>
  </si>
  <si>
    <t xml:space="preserve">  Sources</t>
  </si>
  <si>
    <t xml:space="preserve">Audit-trail tab citing specific H1 financial report pages and slides.</t>
  </si>
  <si>
    <t xml:space="preserve">Methodology references:</t>
  </si>
  <si>
    <t xml:space="preserve">  Equity bridge &amp; valuation mechanics</t>
  </si>
  <si>
    <t xml:space="preserve">design/methodology/equity_bridge_and_valuation_mechanics.md (sections 3.1-3.5, 4-7)</t>
  </si>
  <si>
    <t xml:space="preserve">  Single WACC discipline</t>
  </si>
  <si>
    <t xml:space="preserve">section 3.5</t>
  </si>
  <si>
    <t xml:space="preserve">  Structural headwind overlay</t>
  </si>
  <si>
    <t xml:space="preserve">section 3.2.1 (gas-contract roll-off remains in v4)</t>
  </si>
  <si>
    <t xml:space="preserve">  Tax discipline (new, pending §3.6)</t>
  </si>
  <si>
    <t xml:space="preserve">Effective glides to blended statutory by terminal year. Sources: jurisdictional revenue mix, statutory rates by jurisdiction.</t>
  </si>
  <si>
    <t xml:space="preserve">Colour key:</t>
  </si>
  <si>
    <t xml:space="preserve">  Blue text</t>
  </si>
  <si>
    <t xml:space="preserve">Hardcoded input — override to flow through the model</t>
  </si>
  <si>
    <t xml:space="preserve">  Black text</t>
  </si>
  <si>
    <t xml:space="preserve">Formula / calculation</t>
  </si>
  <si>
    <t xml:space="preserve">  Green text</t>
  </si>
  <si>
    <t xml:space="preserve">Cross-sheet link</t>
  </si>
  <si>
    <t xml:space="preserve">  Yellow background</t>
  </si>
  <si>
    <t xml:space="preserve">Key assumption — flagged for attention</t>
  </si>
  <si>
    <t xml:space="preserve">Parameter</t>
  </si>
  <si>
    <t xml:space="preserve">Value</t>
  </si>
  <si>
    <t xml:space="preserve">Units</t>
  </si>
  <si>
    <t xml:space="preserve">Source / rationale</t>
  </si>
  <si>
    <t xml:space="preserve">DATES (per methodology section 7)</t>
  </si>
  <si>
    <t xml:space="preserve">Valuation date</t>
  </si>
  <si>
    <t xml:space="preserve">25-May-2026</t>
  </si>
  <si>
    <t xml:space="preserve">Today.</t>
  </si>
  <si>
    <t xml:space="preserve">Anchor date (financials)</t>
  </si>
  <si>
    <t xml:space="preserve">31-Mar-2026</t>
  </si>
  <si>
    <t xml:space="preserve">H1 FY26.</t>
  </si>
  <si>
    <t xml:space="preserve">Year 1 start (next FY)</t>
  </si>
  <si>
    <t xml:space="preserve">1-Oct-2026</t>
  </si>
  <si>
    <t xml:space="preserve">FY27 start.</t>
  </si>
  <si>
    <t xml:space="preserve">Stub period (years)</t>
  </si>
  <si>
    <t xml:space="preserve">yrs</t>
  </si>
  <si>
    <t xml:space="preserve">128 days / 365.</t>
  </si>
  <si>
    <t xml:space="preserve">BASE YEAR (FY26 — corrected per Q1 review)</t>
  </si>
  <si>
    <t xml:space="preserve">Base year revenue (FY26)</t>
  </si>
  <si>
    <t xml:space="preserve">AUD m</t>
  </si>
  <si>
    <t xml:space="preserve">FY26 continuing-ops Explosives revenue (excludes discontinued Phosphate Hill). Implied from H1 actual AUD 1,610m + H2 ~AUD 1,790m given guidance midpoint EBIT AUD 480m at margin ~14.1%.</t>
  </si>
  <si>
    <t xml:space="preserve">Base year EBIT margin (Group, FY26)</t>
  </si>
  <si>
    <t xml:space="preserve">%</t>
  </si>
  <si>
    <t xml:space="preserve">AUD 480m guidance midpoint / AUD 3,400m revenue. Q1 correction: corporate ALREADY DEDUCTED in segment guidance per slides 27-28 of H1 investor presentation. Was 12.9% in v3 (-12% double-counting error).</t>
  </si>
  <si>
    <t xml:space="preserve">Steady-state capex/revenue (long run)</t>
  </si>
  <si>
    <t xml:space="preserve">Pre-demerger normalised pattern.</t>
  </si>
  <si>
    <t xml:space="preserve">FY26-27 capex/revenue (transition)</t>
  </si>
  <si>
    <t xml:space="preserve">FY26 guidance AUD 250-300m on AUD 3,400m revenue = ~8%.</t>
  </si>
  <si>
    <t xml:space="preserve">D&amp;A / revenue</t>
  </si>
  <si>
    <t xml:space="preserve">Steady-state approx; FY25 actual 7.66%.</t>
  </si>
  <si>
    <t xml:space="preserve">Working capital change</t>
  </si>
  <si>
    <t xml:space="preserve">AUD m / yr</t>
  </si>
  <si>
    <t xml:space="preserve">Smoke-test simplification: neutral.</t>
  </si>
  <si>
    <t xml:space="preserve">SCENARIO MACRO BASELINE (Muddle Through)</t>
  </si>
  <si>
    <t xml:space="preserve">DM real GDP growth</t>
  </si>
  <si>
    <t xml:space="preserve">Aus 1.8-2.2%, US 1.8-2.2%; central 2.0%.</t>
  </si>
  <si>
    <t xml:space="preserve">DM inflation (normalising)</t>
  </si>
  <si>
    <t xml:space="preserve">Gradually normalising; central 2.5%.</t>
  </si>
  <si>
    <t xml:space="preserve">Global mining real growth</t>
  </si>
  <si>
    <t xml:space="preserve">Tracks real GDP with EM mining tilt; +50bps from depletion / ore-grade decline.</t>
  </si>
  <si>
    <t xml:space="preserve">Gas price growth (input cost proxy)</t>
  </si>
  <si>
    <t xml:space="preserve">No commodity boom in Muddle Through; tracks long-run inflation.</t>
  </si>
  <si>
    <t xml:space="preserve">INDUSTRY ARCHETYPE TRANSLATION (industrial explosives)</t>
  </si>
  <si>
    <t xml:space="preserve">Volume formula coefficient (a)</t>
  </si>
  <si>
    <t xml:space="preserve">volume_growth = a x mining_real_growth + b</t>
  </si>
  <si>
    <t xml:space="preserve">Volume formula constant (b)</t>
  </si>
  <si>
    <t xml:space="preserve">Pickup from ore-grade decline / waste tonnage.</t>
  </si>
  <si>
    <t xml:space="preserve">Industry volume growth (derived)</t>
  </si>
  <si>
    <t xml:space="preserve">a x mining_real_growth + b</t>
  </si>
  <si>
    <t xml:space="preserve">Pricing weight on inflation</t>
  </si>
  <si>
    <t xml:space="preserve">70% of price tracks DM inflation.</t>
  </si>
  <si>
    <t xml:space="preserve">Pricing weight on gas</t>
  </si>
  <si>
    <t xml:space="preserve">30% of price tracks gas input cost.</t>
  </si>
  <si>
    <t xml:space="preserve">Productivity sharing (bps)</t>
  </si>
  <si>
    <t xml:space="preserve">50bps net productivity uplift per year.</t>
  </si>
  <si>
    <t xml:space="preserve">Industry pricing growth (derived)</t>
  </si>
  <si>
    <t xml:space="preserve">pricing_weight_inflation x DM_inflation + pricing_weight_gas x gas_growth + productivity_sharing</t>
  </si>
  <si>
    <t xml:space="preserve">Industry nominal growth (derived)</t>
  </si>
  <si>
    <t xml:space="preserve">(1+vol) x (1+price) - 1</t>
  </si>
  <si>
    <t xml:space="preserve">DNL COMPANY-POSITION OFFSETS</t>
  </si>
  <si>
    <t xml:space="preserve">DM weighting (Aus + US)</t>
  </si>
  <si>
    <t xml:space="preserve">DNL geographic mix: ~55% US + ~35% Australia = 90% mature markets.</t>
  </si>
  <si>
    <t xml:space="preserve">EM weighting (DNEL: LATAM / EMEA)</t>
  </si>
  <si>
    <t xml:space="preserve">~10% EMEA/LATAM.</t>
  </si>
  <si>
    <t xml:space="preserve">EM growth premium vs DM (multiplier)</t>
  </si>
  <si>
    <t xml:space="preserve">EM mining-services markets growing ~30% faster than DM in nominal terms.</t>
  </si>
  <si>
    <t xml:space="preserve">Geographic-mix multiplier (derived)</t>
  </si>
  <si>
    <t xml:space="preserve">DM weight + EM weight x EM premium.</t>
  </si>
  <si>
    <t xml:space="preserve">DNL company offset (bps)</t>
  </si>
  <si>
    <t xml:space="preserve">Mature-market drag net of DNEL pipeline. -50bps central case.</t>
  </si>
  <si>
    <t xml:space="preserve">DNL nominal revenue growth (Muddle Through)</t>
  </si>
  <si>
    <t xml:space="preserve">industry_nominal x geo_mix_multiplier + company_offset. Per methodology section 2.</t>
  </si>
  <si>
    <t xml:space="preserve">MARGIN GLIDE PATH (transformation overlay, Q2/Q3 reconciled to exit run rate)</t>
  </si>
  <si>
    <t xml:space="preserve">FY27 transformation delta (Year 1)</t>
  </si>
  <si>
    <t xml:space="preserve">pp</t>
  </si>
  <si>
    <t xml:space="preserve">+60bps reconciles FY27 EBIT to ~AUD 530m (mid-upper of FY26 exit run rate AUD 495-525m per slide 28).</t>
  </si>
  <si>
    <t xml:space="preserve">FY28 transformation delta (Year 2 cum)</t>
  </si>
  <si>
    <t xml:space="preserve">+180bps cumulative aligns FY28 EBIT to AUD 600m ambition.</t>
  </si>
  <si>
    <t xml:space="preserve">FY29 transformation delta (Year 3 cum)</t>
  </si>
  <si>
    <t xml:space="preserve">+200bps cumulative. Final transformation tail.</t>
  </si>
  <si>
    <t xml:space="preserve">FY30 transformation delta (Year 4 cum)</t>
  </si>
  <si>
    <t xml:space="preserve">Steady state.</t>
  </si>
  <si>
    <t xml:space="preserve">FY31 transformation delta (Year 5 cum)</t>
  </si>
  <si>
    <t xml:space="preserve">GAS CONTRACT ROLL-OFF OVERLAY (structural headwind, methodology section 3.2.1)</t>
  </si>
  <si>
    <t xml:space="preserve">FY27 gas roll-off (Year 1)</t>
  </si>
  <si>
    <t xml:space="preserve">Contracts in place.</t>
  </si>
  <si>
    <t xml:space="preserve">FY28 gas roll-off (Year 2 cum)</t>
  </si>
  <si>
    <t xml:space="preserve">FY29 gas roll-off (Year 3 cum)</t>
  </si>
  <si>
    <t xml:space="preserve">First tranche rolls off; -50bps cumulative.</t>
  </si>
  <si>
    <t xml:space="preserve">FY30 gas roll-off (Year 4 cum)</t>
  </si>
  <si>
    <t xml:space="preserve">Further tranche; -100bps cumulative.</t>
  </si>
  <si>
    <t xml:space="preserve">FY31 gas roll-off (Year 5 cum)</t>
  </si>
  <si>
    <t xml:space="preserve">Majority at spot; -150bps cumulative.</t>
  </si>
  <si>
    <t xml:space="preserve">TAX RATE GLIDE (effective in explicit -&gt; blended statutory in terminal)</t>
  </si>
  <si>
    <t xml:space="preserve">FY26 effective tax rate (base)</t>
  </si>
  <si>
    <t xml:space="preserve">Per FY26 guidance midpoint (20-25%). Used for stub period.</t>
  </si>
  <si>
    <t xml:space="preserve">Blended statutory rate (terminal)</t>
  </si>
  <si>
    <t xml:space="preserve">Computed from Tax Bridge tab: jurisdictional revenue weights x statutory rates. Captures structural US-mix advantage (persistent ~2.5pp gap to AU statutory). Override via Tax Bridge.</t>
  </si>
  <si>
    <t xml:space="preserve">FY27 applied tax rate (Year 1)</t>
  </si>
  <si>
    <t xml:space="preserve">Y1 stays at effective rate (matches management guidance for first forecast year).</t>
  </si>
  <si>
    <t xml:space="preserve">FY28 applied tax rate (Year 2)</t>
  </si>
  <si>
    <t xml:space="preserve">Linear glide Y2 onwards.</t>
  </si>
  <si>
    <t xml:space="preserve">FY29 applied tax rate (Year 3)</t>
  </si>
  <si>
    <t xml:space="preserve">FY30 applied tax rate (Year 4)</t>
  </si>
  <si>
    <t xml:space="preserve">FY31 applied tax rate (Year 5)</t>
  </si>
  <si>
    <t xml:space="preserve">Terminal rate.</t>
  </si>
  <si>
    <t xml:space="preserve">Tax rate for WACC (consistency: blended statutory)</t>
  </si>
  <si>
    <t xml:space="preserve">Per consistency principle: same rate used for terminal operating tax, Hamada re-levering of beta, and cost-of-debt tax shield. Linked to Blended statutory rate above. Was 30% in earlier draft; corrected.</t>
  </si>
  <si>
    <t xml:space="preserve">WACC COMPONENT BUILD-UP (single discipline; Hamada, world-index beta)</t>
  </si>
  <si>
    <t xml:space="preserve">Risk-free rate (Rf)</t>
  </si>
  <si>
    <t xml:space="preserve">10-year on-the-run Commonwealth of Australia government bond yield (coupon-bearing), May 2026. Convention: on-the-run YTM, not zero-coupon. Bloomberg ticker GACGB10 or RBA series.</t>
  </si>
  <si>
    <t xml:space="preserve">Equity risk premium (ERP)</t>
  </si>
  <si>
    <t xml:space="preserve">Damodaran mature-Australia ERP. Convention: published mature-Australia rate refreshed at valuation date.</t>
  </si>
  <si>
    <t xml:space="preserve">Beta (world-index basis, re-levered)</t>
  </si>
  <si>
    <t xml:space="preserve">Convention (per WACC (ii) discussion): for companies with &gt;30% non-Australian revenue, regress against AUD-denominated MSCI World Index. DNL ~55% US revenue + 35% AU. World-index unlevered beta for industrial explosives ~0.83; re-levered via Hamada with D/E 0.197 and tax shield rate = blended statutory ~27.5% gives ~0.95. ASX200-based beta would be ~1.05-1.10 (shown as sensitivity).</t>
  </si>
  <si>
    <t xml:space="preserve">Cost of debt (pre-tax)</t>
  </si>
  <si>
    <t xml:space="preserve">AUD BBB-tier spread ~170bps over 10Y sovereign.</t>
  </si>
  <si>
    <t xml:space="preserve">Equity market value (E)</t>
  </si>
  <si>
    <t xml:space="preserve">AUD 6,390.4m at 21 May 2026.</t>
  </si>
  <si>
    <t xml:space="preserve">Debt market value (D)</t>
  </si>
  <si>
    <t xml:space="preserve">Reported net debt 31 Mar 2026.</t>
  </si>
  <si>
    <t xml:space="preserve">TERMINAL-STATE ASSUMPTIONS</t>
  </si>
  <si>
    <t xml:space="preserve">Terminal growth rate</t>
  </si>
  <si>
    <t xml:space="preserve">GDP-adjacent Australian long-run nominal.</t>
  </si>
  <si>
    <t xml:space="preserve">Horizon (explicit years)</t>
  </si>
  <si>
    <t xml:space="preserve">Phase 3.5 setting.</t>
  </si>
  <si>
    <t xml:space="preserve">SHARE COUNT (per Q8 — single anchor, no buyback projection)</t>
  </si>
  <si>
    <t xml:space="preserve">Shares outstanding (period-end H1 FY26)</t>
  </si>
  <si>
    <t xml:space="preserve">m</t>
  </si>
  <si>
    <t xml:space="preserve">Back-solved from H1 NPAT ex IMIs AUD 161m / EPS ex IMIs 9.0cps = 1,789m weighted avg, less ~half H1 buyback of 38m shares = ~1,770m at 31 Mar 2026. Anchor-date paired to net debt. No Period A buyback adjustment per methodology section 5.2 (on-market buyback at fair value is value-neutral).</t>
  </si>
  <si>
    <t xml:space="preserve">PERIOD A WALK (anchor -&gt; valuation date; Q6/Q8 corrections)</t>
  </si>
  <si>
    <t xml:space="preserve">Days in Period A</t>
  </si>
  <si>
    <t xml:space="preserve">days</t>
  </si>
  <si>
    <t xml:space="preserve">31 March -&gt; 25 May.</t>
  </si>
  <si>
    <t xml:space="preserve">Period A in years</t>
  </si>
  <si>
    <t xml:space="preserve">55/365.</t>
  </si>
  <si>
    <t xml:space="preserve">Underlying OCF run rate (AUD m / yr)</t>
  </si>
  <si>
    <t xml:space="preserve">Q6 correction: H1 OCF AUD 145m grossed up for one-off TWC unwind of AUD 111m -&gt; annualised ~AUD 500m (vs AUD 290m simple-double in v3). EBITDA continuing ops ex IMIs at H1 was AUD 359m, supporting AUD 500m+ underlying OCF.</t>
  </si>
  <si>
    <t xml:space="preserve">Capex run rate (AUD m / yr)</t>
  </si>
  <si>
    <t xml:space="preserve">H1 AUD 128m continuing-ops capex x 2.</t>
  </si>
  <si>
    <t xml:space="preserve">EQUITY-BRIDGE ADJUSTMENTS (Q7 — full Fertilisers separation map per slide 29)</t>
  </si>
  <si>
    <t xml:space="preserve">Declared unpaid dividend (interim, 11 May 2026)</t>
  </si>
  <si>
    <t xml:space="preserve">4.6cps x 1,770m shares. Declared post-anchor; not in 31 Mar net debt.</t>
  </si>
  <si>
    <t xml:space="preserve">Phosphate Hill ARO commitment</t>
  </si>
  <si>
    <t xml:space="preserve">Slide 29: ARO funding for Phosphate Hill at sale completion (Q3 FY26).</t>
  </si>
  <si>
    <t xml:space="preserve">Phosphate Hill ARO provided at anchor</t>
  </si>
  <si>
    <t xml:space="preserve">Reclassified to Held for Sale per H1 announcement.</t>
  </si>
  <si>
    <t xml:space="preserve">Phosphate Hill ARO net add-back</t>
  </si>
  <si>
    <t xml:space="preserve">Net cash cost not already on BS.</t>
  </si>
  <si>
    <t xml:space="preserve">Phosphate Hill inventory commitment (slide 29)</t>
  </si>
  <si>
    <t xml:space="preserve">Slide 29: ~AUD 80m worth of inventory to be supplied to Mayfair on completion.</t>
  </si>
  <si>
    <t xml:space="preserve">Restructure execution cash cost</t>
  </si>
  <si>
    <t xml:space="preserve">Remaining transformation cash costs over ~18 months. Methodology section 4.4 consistency rule.</t>
  </si>
  <si>
    <t xml:space="preserve">Geelong remediation (NEW)</t>
  </si>
  <si>
    <t xml:space="preserve">Slide 29: AUD 61m pre-tax remediation (AUD 43m post-tax); shown here at AUD 35m post-tax net of ~AUD 12m already paid. Completion within 2 years of Sep 2025.</t>
  </si>
  <si>
    <t xml:space="preserve">Gibson Island remediation + leaseback (NEW)</t>
  </si>
  <si>
    <t xml:space="preserve">Slide 29: AUD 157m pre-tax (AUD 110m post-tax); ~AUD 18m pre-tax paid to end H1; remaining ~AUD 97m post-tax net. Completion within ~3.5 years of Oct 2025.</t>
  </si>
  <si>
    <t xml:space="preserve">Transaction costs (NEW)</t>
  </si>
  <si>
    <t xml:space="preserve">Slide 29: outstanding selling, transaction and separation costs across Fertilisers transactions.</t>
  </si>
  <si>
    <t xml:space="preserve">Perdaman contingent (face)</t>
  </si>
  <si>
    <t xml:space="preserve">Slide 29: up to AUD 145m on operational milestones; production start expected 2027.</t>
  </si>
  <si>
    <t xml:space="preserve">Perdaman probability</t>
  </si>
  <si>
    <t xml:space="preserve">Central estimate; project execution + milestone gates.</t>
  </si>
  <si>
    <t xml:space="preserve">Perdaman expected value</t>
  </si>
  <si>
    <t xml:space="preserve">Face x probability.</t>
  </si>
  <si>
    <t xml:space="preserve">IPF Distribution deferred (NEW, face)</t>
  </si>
  <si>
    <t xml:space="preserve">Slide 29: AUD 50m vendor note (3 yrs) + AUD 75m Geelong property deferred (2 yrs).</t>
  </si>
  <si>
    <t xml:space="preserve">IPF Distribution probability</t>
  </si>
  <si>
    <t xml:space="preserve">High probability — both items have known counterparties and reasonable contract terms.</t>
  </si>
  <si>
    <t xml:space="preserve">IPF Distribution expected value</t>
  </si>
  <si>
    <t xml:space="preserve">Phosphate Hill contingent (NEW, face)</t>
  </si>
  <si>
    <t xml:space="preserve">Slide 29: up to AUD 100m subject to performance hurdles; long-dated; uncertain.</t>
  </si>
  <si>
    <t xml:space="preserve">Phosphate Hill contingent probability</t>
  </si>
  <si>
    <t xml:space="preserve">Lower probability — performance-conditional, long-dated, uncertain.</t>
  </si>
  <si>
    <t xml:space="preserve">Phosphate Hill contingent expected value</t>
  </si>
  <si>
    <t xml:space="preserve">MARKET REFERENCE</t>
  </si>
  <si>
    <t xml:space="preserve">Share price (21 May 2026)</t>
  </si>
  <si>
    <t xml:space="preserve">AUD/sh</t>
  </si>
  <si>
    <t xml:space="preserve">ASX close.</t>
  </si>
  <si>
    <t xml:space="preserve">Wall Street consensus target</t>
  </si>
  <si>
    <t xml:space="preserve">EODHD analyst summary.</t>
  </si>
  <si>
    <t xml:space="preserve">DNL Tax Rate Bridge — explicit effective glides to blended statutory in terminal</t>
  </si>
  <si>
    <t xml:space="preserve">JURISDICTIONAL BLENDED STATUTORY RATE</t>
  </si>
  <si>
    <t xml:space="preserve">Jurisdiction</t>
  </si>
  <si>
    <t xml:space="preserve">Revenue weight</t>
  </si>
  <si>
    <t xml:space="preserve">Statutory rate</t>
  </si>
  <si>
    <t xml:space="preserve">Contribution</t>
  </si>
  <si>
    <t xml:space="preserve">Dyno Nobel Americas (US)</t>
  </si>
  <si>
    <t xml:space="preserve">Dyno Nobel Asia Pacific (Australia)</t>
  </si>
  <si>
    <t xml:space="preserve">Dyno Nobel EMEA &amp; LATAM</t>
  </si>
  <si>
    <t xml:space="preserve">Blended statutory rate</t>
  </si>
  <si>
    <t xml:space="preserve">Used as terminal-year tax rate; per Tara's framing, structural geographic-mix advantage persists in perpetuity at ~27.5% (vs 30% AU statutory).</t>
  </si>
  <si>
    <t xml:space="preserve">TAX RATE GLIDE PATH (explicit period)</t>
  </si>
  <si>
    <t xml:space="preserve">Year</t>
  </si>
  <si>
    <t xml:space="preserve">Rate</t>
  </si>
  <si>
    <t xml:space="preserve">Glide interpolation</t>
  </si>
  <si>
    <t xml:space="preserve">FY27 (Y1)</t>
  </si>
  <si>
    <t xml:space="preserve">Effective rate held in Y1.</t>
  </si>
  <si>
    <t xml:space="preserve">FY28 (Y2)</t>
  </si>
  <si>
    <t xml:space="preserve">1/4 of the gap closed.</t>
  </si>
  <si>
    <t xml:space="preserve">FY29 (Y3)</t>
  </si>
  <si>
    <t xml:space="preserve">1/2 of the gap closed.</t>
  </si>
  <si>
    <t xml:space="preserve">FY30 (Y4)</t>
  </si>
  <si>
    <t xml:space="preserve">3/4 of the gap closed.</t>
  </si>
  <si>
    <t xml:space="preserve">FY31 (Y5) + Terminal</t>
  </si>
  <si>
    <t xml:space="preserve">Blended statutory rate reached.</t>
  </si>
  <si>
    <t xml:space="preserve">RATIONALE (per Tara's framing 29 May 2026)</t>
  </si>
  <si>
    <t xml:space="preserve">Effective rate (FY26 22.5% per management guidance) is volatile and captures everything — geographic mix, timing differences, R&amp;D credits, JV income treatment, true-ups. Blended statutory rate (~27.5% per the jurisdictional weights above) is structural — captures only the persistent geographic-mix advantage and is what we expect in perpetuity. The 5pp gap closes over the explicit horizon as transient benefits compress (R&amp;D, timing, JV) while the structural ~2.5pp US-mix advantage persists. All inputs above are user-overridable: change a revenue weight, a statutory rate, or the effective base rate, and the glide reflows.</t>
  </si>
  <si>
    <t xml:space="preserve">DNL P&amp;L — historicals + Muddle Through 5-year forecast (continuing ops, AUD m)</t>
  </si>
  <si>
    <t xml:space="preserve">Period</t>
  </si>
  <si>
    <t xml:space="preserve">FY24</t>
  </si>
  <si>
    <t xml:space="preserve">FY25</t>
  </si>
  <si>
    <t xml:space="preserve">H1 FY26</t>
  </si>
  <si>
    <t xml:space="preserve">FY26 (base)</t>
  </si>
  <si>
    <t xml:space="preserve">Y1 FY27</t>
  </si>
  <si>
    <t xml:space="preserve">Y2 FY28</t>
  </si>
  <si>
    <t xml:space="preserve">Y3 FY29</t>
  </si>
  <si>
    <t xml:space="preserve">Y4 FY30</t>
  </si>
  <si>
    <t xml:space="preserve">Y5 FY31</t>
  </si>
  <si>
    <t xml:space="preserve">Notes</t>
  </si>
  <si>
    <t xml:space="preserve">REVENUE (continuing ops)</t>
  </si>
  <si>
    <t xml:space="preserve">Revenue</t>
  </si>
  <si>
    <t xml:space="preserve">Y1-Y5 compound at chain-derived 5.9%. Q1 base year reset to AUD 3,400m (continuing-ops, ex Phosphate Hill).</t>
  </si>
  <si>
    <t xml:space="preserve">EBIT (Group; ex IMIs) — Q2/Q3 reconciled to exit run rate</t>
  </si>
  <si>
    <t xml:space="preserve">EBIT margin (applied)</t>
  </si>
  <si>
    <t xml:space="preserve">Base 14.1% + transformation glide (+60/+180/+200/+200/+200 bps) + gas roll-off (0/0/-50/-100/-150 bps).</t>
  </si>
  <si>
    <t xml:space="preserve">EBIT</t>
  </si>
  <si>
    <t xml:space="preserve">FY27 ~AUD 530m (within management exit run rate 495-525). FY28 ~AUD 600m (matches ambition).</t>
  </si>
  <si>
    <t xml:space="preserve">BELOW EBIT (per-year tax rate from Tax Bridge tab)</t>
  </si>
  <si>
    <t xml:space="preserve">Applied tax rate</t>
  </si>
  <si>
    <t xml:space="preserve">Linear glide effective 22.5% (Y1) -&gt; blended statutory 27.5% (Y5).</t>
  </si>
  <si>
    <t xml:space="preserve">Tax on EBIT</t>
  </si>
  <si>
    <t xml:space="preserve">NOPAT (Group)</t>
  </si>
  <si>
    <t xml:space="preserve">DNL balance sheet summary at 31 March 2026 (H1 FY26 anchor; AUD m)</t>
  </si>
  <si>
    <t xml:space="preserve">Line</t>
  </si>
  <si>
    <t xml:space="preserve">ASSETS (statutory presentation per Q4 review)</t>
  </si>
  <si>
    <t xml:space="preserve">Cash and short-term investments</t>
  </si>
  <si>
    <t xml:space="preserve">Per H1 BS</t>
  </si>
  <si>
    <t xml:space="preserve">Trade receivables (gross)</t>
  </si>
  <si>
    <t xml:space="preserve">Inventory</t>
  </si>
  <si>
    <t xml:space="preserve">Other current assets</t>
  </si>
  <si>
    <t xml:space="preserve">Net PP&amp;E</t>
  </si>
  <si>
    <t xml:space="preserve">Per H1 announcement page 11.</t>
  </si>
  <si>
    <t xml:space="preserve">Lease assets</t>
  </si>
  <si>
    <t xml:space="preserve">Intangible assets</t>
  </si>
  <si>
    <t xml:space="preserve">Goodwill + intangibles.</t>
  </si>
  <si>
    <t xml:space="preserve">Net other assets / long-term investments</t>
  </si>
  <si>
    <t xml:space="preserve">Net tax assets</t>
  </si>
  <si>
    <t xml:space="preserve">Total assets (gross per statutory)</t>
  </si>
  <si>
    <t xml:space="preserve">Per H1 statutory accounts; differs from H1 announcement net-working-capital presentation (AUD 5,863m) by ~AUD 1,135m which is gross-up of TWC items.</t>
  </si>
  <si>
    <t xml:space="preserve">LIABILITIES &amp; EQUITY</t>
  </si>
  <si>
    <t xml:space="preserve">Trade payables (gross)</t>
  </si>
  <si>
    <t xml:space="preserve">Environmental &amp; restructure liabilities</t>
  </si>
  <si>
    <t xml:space="preserve">Per H1 announcement page 11. Includes AUD 82m Phosphate Hill ARO reclassified to Held for Sale; AUD 33m payments in H1.</t>
  </si>
  <si>
    <t xml:space="preserve">Lease liabilities</t>
  </si>
  <si>
    <t xml:space="preserve">AASB 16; matches lease assets above on liability side.</t>
  </si>
  <si>
    <t xml:space="preserve">Net debt (reported, H1 anchor)</t>
  </si>
  <si>
    <t xml:space="preserve">Interest-bearing liabilities + capital leases - cash - hedging derivatives. Up AUD 80m H/H: buyback AUD 128m + dividends paid AUD 170m - Gibson Island proceeds AUD 198m.</t>
  </si>
  <si>
    <t xml:space="preserve">Net liabilities classified as held for sale</t>
  </si>
  <si>
    <t xml:space="preserve">Phosphate Hill (binding sale agreement signed March 2026).</t>
  </si>
  <si>
    <t xml:space="preserve">Other current liabilities + other LT</t>
  </si>
  <si>
    <t xml:space="preserve">Total liabilities (gross)</t>
  </si>
  <si>
    <t xml:space="preserve">Net assets / Total equity</t>
  </si>
  <si>
    <t xml:space="preserve">Per statutory presentation.</t>
  </si>
  <si>
    <t xml:space="preserve">CREDIT METRICS</t>
  </si>
  <si>
    <t xml:space="preserve">Net debt / EBITDA (TTM)</t>
  </si>
  <si>
    <t xml:space="preserve">Per H1 disclosure. Well within 2.0x policy.</t>
  </si>
  <si>
    <t xml:space="preserve">Interest cover</t>
  </si>
  <si>
    <t xml:space="preserve">Credit rating (S&amp;P)</t>
  </si>
  <si>
    <t xml:space="preserve">BBB stable</t>
  </si>
  <si>
    <t xml:space="preserve">Credit rating (Moody's)</t>
  </si>
  <si>
    <t xml:space="preserve">Baa2 stable</t>
  </si>
  <si>
    <t xml:space="preserve">DNL WACC component build-up — single discipline, Hamada with world-index beta</t>
  </si>
  <si>
    <t xml:space="preserve">Source / formula</t>
  </si>
  <si>
    <t xml:space="preserve">COST OF EQUITY (CAPM with Hamada re-levered beta)</t>
  </si>
  <si>
    <t xml:space="preserve">10Y on-the-run CGS YTM, May 2026. Bloomberg GACGB10. Coupon-bearing (not zero-coupon); convention documented.</t>
  </si>
  <si>
    <t xml:space="preserve">Damodaran mature-Australia ERP.</t>
  </si>
  <si>
    <t xml:space="preserve">Beta (re-levered)</t>
  </si>
  <si>
    <t xml:space="preserve">World-index basis (AUD-MSCI World), re-levered via Hamada with marginal tax 30% and D/E 0.197. Convention: world index for &gt;30% non-Australian revenue companies.</t>
  </si>
  <si>
    <t xml:space="preserve">Cost of equity (Re = Rf + Beta x ERP)</t>
  </si>
  <si>
    <t xml:space="preserve">CAPM.</t>
  </si>
  <si>
    <t xml:space="preserve">COST OF DEBT (after-tax, using marginal/statutory rate)</t>
  </si>
  <si>
    <t xml:space="preserve">Cost of debt, pre-tax (Rd)</t>
  </si>
  <si>
    <t xml:space="preserve">BBB spread ~170bps.</t>
  </si>
  <si>
    <t xml:space="preserve">Tax rate (consistent with Tax Bridge blended statutory)</t>
  </si>
  <si>
    <t xml:space="preserve">Per consistency principle: same rate used for terminal operating tax, debt tax shield, and Hamada re-levering. Linked to Tax Bridge blended statutory ~27.5%. Was 30% statutory in earlier draft; corrected for internal consistency.</t>
  </si>
  <si>
    <t xml:space="preserve">Cost of debt, after-tax</t>
  </si>
  <si>
    <t xml:space="preserve">Rd x (1 - marginal tax rate).</t>
  </si>
  <si>
    <t xml:space="preserve">CAPITAL-STRUCTURE WEIGHTS (market value)</t>
  </si>
  <si>
    <t xml:space="preserve">Per Assumptions.</t>
  </si>
  <si>
    <t xml:space="preserve">Enterprise value (V = E + D)</t>
  </si>
  <si>
    <t xml:space="preserve">E/V</t>
  </si>
  <si>
    <t xml:space="preserve">D/V</t>
  </si>
  <si>
    <t xml:space="preserve">APPLIED WACC (constant across scenarios; user-overridable)</t>
  </si>
  <si>
    <t xml:space="preserve">Baseline WACC (computed)</t>
  </si>
  <si>
    <t xml:space="preserve">WACC = (E/V) x Re + (D/V) x Rd_at.</t>
  </si>
  <si>
    <t xml:space="preserve">Applied WACC</t>
  </si>
  <si>
    <t xml:space="preserve">Default: linked to baseline build. Override this cell for sensitivity (e.g., 0.0725 for -100bps test).</t>
  </si>
  <si>
    <t xml:space="preserve">CONVENTIONS DOCUMENTED</t>
  </si>
  <si>
    <t xml:space="preserve">(i) Hamada formula</t>
  </si>
  <si>
    <t xml:space="preserve">Beta_L = Beta_U x (1 + (1-t) x D/E), with t = blended statutory (per consistency principle; was 30% in earlier draft).</t>
  </si>
  <si>
    <t xml:space="preserve">(ii) Market index</t>
  </si>
  <si>
    <t xml:space="preserve">AUD-MSCI World for companies with &gt;30% non-Australian revenue (DNL: 65% non-AU). ASX200 cross-check.</t>
  </si>
  <si>
    <t xml:space="preserve">(iii) Risk-free rate</t>
  </si>
  <si>
    <t xml:space="preserve">10Y on-the-run CGS YTM (coupon-bearing). Refreshed at valuation date.</t>
  </si>
  <si>
    <t xml:space="preserve">(iv) Tax-rate consistency</t>
  </si>
  <si>
    <t xml:space="preserve">Same blended statutory rate (~27.5%, from Tax Bridge D8) used for (a) terminal operating tax, (b) debt tax shield in WACC, and (c) Hamada re-levering. Principle: internal consistency across the model.</t>
  </si>
  <si>
    <t xml:space="preserve">DNL IMI Register — H1 FY26</t>
  </si>
  <si>
    <t xml:space="preserve">IMI item</t>
  </si>
  <si>
    <t xml:space="preserve">After tax (AUD m)</t>
  </si>
  <si>
    <t xml:space="preserve">Gross (AUD m)</t>
  </si>
  <si>
    <t xml:space="preserve">P&amp;L line</t>
  </si>
  <si>
    <t xml:space="preserve">Frequency context</t>
  </si>
  <si>
    <t xml:space="preserve">Default lean</t>
  </si>
  <si>
    <t xml:space="preserve">Applied</t>
  </si>
  <si>
    <t xml:space="preserve">Phosphate Hill impairment + site exit</t>
  </si>
  <si>
    <t xml:space="preserve">above_ebit</t>
  </si>
  <si>
    <t xml:space="preserve">First occurrence; tied to specific divestment.</t>
  </si>
  <si>
    <t xml:space="preserve">accept_as_one_off</t>
  </si>
  <si>
    <t xml:space="preserve">strip</t>
  </si>
  <si>
    <t xml:space="preserve">IPF Distribution / Gibson Island</t>
  </si>
  <si>
    <t xml:space="preserve">below_ebit</t>
  </si>
  <si>
    <t xml:space="preserve">Tied to FY25 divestments; final adjustments.</t>
  </si>
  <si>
    <t xml:space="preserve">Business transformation costs</t>
  </si>
  <si>
    <t xml:space="preserve">FY24/25/26 (3 consecutive years); transformation winding down post fertilisers separation.</t>
  </si>
  <si>
    <t xml:space="preserve">partial_recur (borderline)</t>
  </si>
  <si>
    <t xml:space="preserve">Total IMIs (H1 FY26)</t>
  </si>
  <si>
    <t xml:space="preserve">DNL DCF v4 — Muddle Through (stub + 5-yr explicit + Gordon-growth terminal)</t>
  </si>
  <si>
    <t xml:space="preserve">Stub</t>
  </si>
  <si>
    <t xml:space="preserve">Terminal</t>
  </si>
  <si>
    <t xml:space="preserve">INPUTS (from P&amp;L + tax bridge)</t>
  </si>
  <si>
    <t xml:space="preserve">Revenue (AUD m)</t>
  </si>
  <si>
    <t xml:space="preserve">EBIT margin</t>
  </si>
  <si>
    <t xml:space="preserve">FCF BRIDGE</t>
  </si>
  <si>
    <t xml:space="preserve">Less: tax on EBIT</t>
  </si>
  <si>
    <t xml:space="preserve">NOPAT</t>
  </si>
  <si>
    <t xml:space="preserve">Plus: D&amp;A</t>
  </si>
  <si>
    <t xml:space="preserve">Less: capex</t>
  </si>
  <si>
    <t xml:space="preserve">Less: change in WC</t>
  </si>
  <si>
    <t xml:space="preserve">Unlevered FCFF</t>
  </si>
  <si>
    <t xml:space="preserve">DISCOUNTING (mid-period, from valuation date)</t>
  </si>
  <si>
    <t xml:space="preserve">WACC</t>
  </si>
  <si>
    <t xml:space="preserve">Time to mid-cash-flow (yrs)</t>
  </si>
  <si>
    <t xml:space="preserve">Discount factor</t>
  </si>
  <si>
    <t xml:space="preserve">PV of FCFF</t>
  </si>
  <si>
    <t xml:space="preserve">TERMINAL VALUE (Gordon growth; terminal at blended statutory tax)</t>
  </si>
  <si>
    <t xml:space="preserve">Terminal growth</t>
  </si>
  <si>
    <t xml:space="preserve">Terminal-year FCF (Y5 x (1+g))</t>
  </si>
  <si>
    <t xml:space="preserve">Terminal value (TFCF / (WACC-g))</t>
  </si>
  <si>
    <t xml:space="preserve">Time to end Y5 (yrs)</t>
  </si>
  <si>
    <t xml:space="preserve">Discount factor at end Y5</t>
  </si>
  <si>
    <t xml:space="preserve">PV of terminal value</t>
  </si>
  <si>
    <t xml:space="preserve">ENTERPRISE VALUE</t>
  </si>
  <si>
    <t xml:space="preserve">Sum PV explicit FCFF (stub + Y1-Y5)</t>
  </si>
  <si>
    <t xml:space="preserve">Plus: PV terminal</t>
  </si>
  <si>
    <t xml:space="preserve">Enterprise value (EV)</t>
  </si>
  <si>
    <t xml:space="preserve">Terminal share of EV (diagnostic)</t>
  </si>
  <si>
    <t xml:space="preserve">DNL Equity Bridge v4 — full Fertilisers separation map (per slide 29) + Q6/Q8 corrections</t>
  </si>
  <si>
    <t xml:space="preserve">Component</t>
  </si>
  <si>
    <t xml:space="preserve">Running</t>
  </si>
  <si>
    <t xml:space="preserve">PERIOD A WALK (anchor -&gt; valuation date; Q6 + Q8 corrections)</t>
  </si>
  <si>
    <t xml:space="preserve">Net debt at 31 Mar 2026 (anchor)</t>
  </si>
  <si>
    <t xml:space="preserve">From Assumptions.</t>
  </si>
  <si>
    <t xml:space="preserve">  less: operating cash flow in Period A (Q6 fix)</t>
  </si>
  <si>
    <t xml:space="preserve">Q6 fix: underlying OCF rate AUD 500m/yr (was AUD 290m in v3, which understated by ~AUD 30m).</t>
  </si>
  <si>
    <t xml:space="preserve">  plus: capex paid in Period A</t>
  </si>
  <si>
    <t xml:space="preserve">  (Q8: no buyback adjustment - value-neutral per methodology section 5.2)</t>
  </si>
  <si>
    <t xml:space="preserve">Net debt walk subtotal</t>
  </si>
  <si>
    <t xml:space="preserve">Net debt at 25 May 2026 (valuation date)</t>
  </si>
  <si>
    <t xml:space="preserve">EQUITY-BRIDGE ADJUSTMENTS — Fertilisers separation per slide 29 (Q7)</t>
  </si>
  <si>
    <t xml:space="preserve">Plus: declared unpaid dividend (interim, 11 May 2026)</t>
  </si>
  <si>
    <t xml:space="preserve">4.6cps x 1,770m. Declared post-anchor (11 May 2026).</t>
  </si>
  <si>
    <t xml:space="preserve">Plus: Phosphate Hill ARO (net of provided)</t>
  </si>
  <si>
    <t xml:space="preserve">Slide 29: AUD 126m at completion. AUD 82m provided (held for sale). Net AUD 44m.</t>
  </si>
  <si>
    <t xml:space="preserve">Plus: Phosphate Hill inventory commitment</t>
  </si>
  <si>
    <t xml:space="preserve">Slide 29: ~AUD 80m inventory to Mayfair on completion.</t>
  </si>
  <si>
    <t xml:space="preserve">Plus: restructure execution cash cost (transformation)</t>
  </si>
  <si>
    <t xml:space="preserve">Methodology section 4.4 consistency rule.</t>
  </si>
  <si>
    <t xml:space="preserve">Plus: Geelong remediation (NEW per Q7)</t>
  </si>
  <si>
    <t xml:space="preserve">Slide 29: completion within 2 yrs of Sep 2025.</t>
  </si>
  <si>
    <t xml:space="preserve">Plus: Gibson Island remediation (NEW per Q7)</t>
  </si>
  <si>
    <t xml:space="preserve">Slide 29: completion within ~3.5 yrs of Oct 2025.</t>
  </si>
  <si>
    <t xml:space="preserve">Plus: transaction costs (NEW per Q7)</t>
  </si>
  <si>
    <t xml:space="preserve">Slide 29: outstanding selling/transaction/separation.</t>
  </si>
  <si>
    <t xml:space="preserve">Less: Perdaman contingent receivable (prob-wt)</t>
  </si>
  <si>
    <t xml:space="preserve">Slide 29: up to AUD 145m on milestones; 50% probability.</t>
  </si>
  <si>
    <t xml:space="preserve">Less: IPF Distribution deferred (prob-wt) NEW</t>
  </si>
  <si>
    <t xml:space="preserve">Slide 29: AUD 125m face (AUD 50m vendor note + AUD 75m Geelong deferred). 85% probability.</t>
  </si>
  <si>
    <t xml:space="preserve">Less: Phosphate Hill contingent (prob-wt) NEW</t>
  </si>
  <si>
    <t xml:space="preserve">Slide 29: up to AUD 100m on performance hurdles. 30% probability.</t>
  </si>
  <si>
    <t xml:space="preserve">Total equity-bridge adjustments</t>
  </si>
  <si>
    <t xml:space="preserve">VALUE PER SHARE</t>
  </si>
  <si>
    <t xml:space="preserve">Enterprise value (from DCF)</t>
  </si>
  <si>
    <t xml:space="preserve">Less: net debt at valuation date</t>
  </si>
  <si>
    <t xml:space="preserve">Less: equity-bridge adjustments (net)</t>
  </si>
  <si>
    <t xml:space="preserve">Equity value</t>
  </si>
  <si>
    <t xml:space="preserve">Divided by shares outstanding (Q8: H1 anchor, no buyback projection)</t>
  </si>
  <si>
    <t xml:space="preserve">MARKET CHECK</t>
  </si>
  <si>
    <t xml:space="preserve">Market reference per share</t>
  </si>
  <si>
    <t xml:space="preserve">Discount / (premium) vs market</t>
  </si>
  <si>
    <t xml:space="preserve">Sources — audit trail (per Q5 review)</t>
  </si>
  <si>
    <t xml:space="preserve">Item</t>
  </si>
  <si>
    <t xml:space="preserve">Source</t>
  </si>
  <si>
    <t xml:space="preserve">Base year revenue / EBIT guidance</t>
  </si>
  <si>
    <t xml:space="preserve">H1 FY26 Investor Presentation (11 May 2026) slides 11 (outlook), 27 (segment EBIT), 28 (transformation tracker including FY26 guidance AUD 460-500m, FY28 ambition AUD 600m, exit run rate AUD 495-525m).</t>
  </si>
  <si>
    <t xml:space="preserve">Corporate cost treatment (Q1)</t>
  </si>
  <si>
    <t xml:space="preserve">H1 FY26 Investor Presentation slide 27 (Business Unit Performance — shows Corp &amp; elim of AUD -16m within Total Explosives EBIT, confirming corporate already netted in segment numbers).</t>
  </si>
  <si>
    <t xml:space="preserve">H1 FY26 income statement</t>
  </si>
  <si>
    <t xml:space="preserve">H1 FY26 Half Year Results Announcement (11 May 2026) page 9 (Table 2 — Income Statement: Revenue AUD 1,898m; Operating margin AUD 514m; EBIT ex IMIs AUD 243m; Net debt AUD 1,261m).</t>
  </si>
  <si>
    <t xml:space="preserve">Balance sheet figures (Q4/Q5)</t>
  </si>
  <si>
    <t xml:space="preserve">H1 FY26 Half Year Results Announcement page 11 (Table 4 — net working capital presentation, total AUD 5,863m). Full statutory BS (AUD 6,997.7m gross) from the Half-Year Financial Report (published with the announcement). Difference (~AUD 1,135m) is gross-up of TWC items.</t>
  </si>
  <si>
    <t xml:space="preserve">Environmental &amp; restructure liabilities (Q5)</t>
  </si>
  <si>
    <t xml:space="preserve">H1 FY26 Half Year Results Announcement page 11 (AUD 249.3m); composition explained on page 12 — includes Phosphate Hill ARO AUD 82m reclassified to Held for Sale, Geelong remediation accruals AUD ~33m, transformation provisions.</t>
  </si>
  <si>
    <t xml:space="preserve">Lease liabilities (Q5)</t>
  </si>
  <si>
    <t xml:space="preserve">H1 FY26 Half Year Results Announcement page 11 (AUD 194.3m); AASB 16 lease liabilities. Composition in Half-Year Financial Report notes.</t>
  </si>
  <si>
    <t xml:space="preserve">Operating cash flow (Q6)</t>
  </si>
  <si>
    <t xml:space="preserve">H1 FY26 Half Year Results Announcement page 14 (Table 8 — Cash Flow); H1 OCF AUD 145m with commentary on AUD 226m differential in TWC facility utilisation vs pcp.</t>
  </si>
  <si>
    <t xml:space="preserve">Buyback (Q8)</t>
  </si>
  <si>
    <t xml:space="preserve">H1 FY26 Half Year Results Announcement page 14 (financing cash flow); AUD 558m of AUD 900m program complete by 11 May 2026; AUD 342m remaining; buyback resumed 12 May 2026.</t>
  </si>
  <si>
    <t xml:space="preserve">Fertilisers separation cash flows (Q7)</t>
  </si>
  <si>
    <t xml:space="preserve">H1 FY26 Investor Presentation slide 29 (Fertilisers separation cash flows): IPF Distribution +AUD 125m, Perdaman +AUD 145m, Geelong remediation -AUD 35m, Gibson Island remediation -AUD 97m, Phosphate Hill ARO -AUD 126m, transaction costs -AUD 11m, Phosphate Hill contingent +AUD 100m.</t>
  </si>
  <si>
    <t xml:space="preserve">WACC — risk-free rate (Q9)</t>
  </si>
  <si>
    <t xml:space="preserve">10-year on-the-run Commonwealth of Australia government bond yield, May 2026; Bloomberg ticker GACGB10 Index or RBA F2 series.</t>
  </si>
  <si>
    <t xml:space="preserve">WACC — beta (Q9)</t>
  </si>
  <si>
    <t xml:space="preserve">World-index basis: Damodaran industry beta data (Chemical-Specialty / Basic) cross-checked with Orica (ASX:ORI) and pre-demerger IPL observed beta. Sensitivity: ASX200 basis ~1.05-1.10.</t>
  </si>
  <si>
    <t xml:space="preserve">Tax rate effective (Q9 + Tax discussion)</t>
  </si>
  <si>
    <t xml:space="preserve">FY26 guidance midpoint 20-25% (= 22.5%) per H1 FY26 Investor Presentation slide 11.</t>
  </si>
  <si>
    <t xml:space="preserve">Tax rate blended statutory (Tax discussion)</t>
  </si>
  <si>
    <t xml:space="preserve">Computed from jurisdictional revenue weights x statutory rates: US (55% x 26%) + Australia (35% x 30%) + EMEA/LATAM (10% x 27%) = 27.5%.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</si>
</sst>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0.000"/>
    <numFmt numFmtId="167" formatCode="#,##0;\(#,##0\);\-"/>
    <numFmt numFmtId="168" formatCode="0.0%;\(0.0%\);\-"/>
    <numFmt numFmtId="169" formatCode="0.00%;\(0.00%\);\-"/>
    <numFmt numFmtId="170" formatCode="0.00"/>
    <numFmt numFmtId="171" formatCode="0.0"/>
    <numFmt numFmtId="172" formatCode="0"/>
    <numFmt numFmtId="173" formatCode="&quot;AUD &quot;0.00"/>
    <numFmt numFmtId="174" formatCode="0.0\x"/>
    <numFmt numFmtId="175" formatCode="0.0000"/>
    <numFmt numFmtId="176" formatCode="&quot;AUD &quot;#,##0.00;&quot;(AUD 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85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</row>
    <row r="6" customFormat="false" ht="15" hidden="false" customHeight="false" outlineLevel="0" collapsed="false">
      <c r="B6" s="2" t="s">
        <v>7</v>
      </c>
      <c r="C6" s="3" t="s">
        <v>8</v>
      </c>
    </row>
    <row r="7" customFormat="false" ht="15" hidden="false" customHeight="false" outlineLevel="0" collapsed="false">
      <c r="B7" s="2"/>
      <c r="C7" s="3"/>
    </row>
    <row r="8" customFormat="false" ht="15" hidden="false" customHeight="false" outlineLevel="0" collapsed="false">
      <c r="B8" s="2" t="s">
        <v>9</v>
      </c>
      <c r="C8" s="3"/>
    </row>
    <row r="9" customFormat="false" ht="39.55" hidden="false" customHeight="false" outlineLevel="0" collapsed="false">
      <c r="B9" s="2" t="s">
        <v>10</v>
      </c>
      <c r="C9" s="3" t="s">
        <v>11</v>
      </c>
    </row>
    <row r="10" customFormat="false" ht="26.85" hidden="false" customHeight="false" outlineLevel="0" collapsed="false">
      <c r="B10" s="2" t="s">
        <v>12</v>
      </c>
      <c r="C10" s="3" t="s">
        <v>13</v>
      </c>
    </row>
    <row r="11" customFormat="false" ht="26.85" hidden="false" customHeight="false" outlineLevel="0" collapsed="false">
      <c r="B11" s="2" t="s">
        <v>14</v>
      </c>
      <c r="C11" s="3" t="s">
        <v>15</v>
      </c>
    </row>
    <row r="12" customFormat="false" ht="39.55" hidden="false" customHeight="false" outlineLevel="0" collapsed="false">
      <c r="B12" s="2" t="s">
        <v>16</v>
      </c>
      <c r="C12" s="3" t="s">
        <v>17</v>
      </c>
    </row>
    <row r="13" customFormat="false" ht="26.85" hidden="false" customHeight="false" outlineLevel="0" collapsed="false">
      <c r="B13" s="2" t="s">
        <v>18</v>
      </c>
      <c r="C13" s="3" t="s">
        <v>19</v>
      </c>
    </row>
    <row r="14" customFormat="false" ht="15" hidden="false" customHeight="false" outlineLevel="0" collapsed="false">
      <c r="B14" s="2" t="s">
        <v>20</v>
      </c>
      <c r="C14" s="3" t="s">
        <v>21</v>
      </c>
    </row>
    <row r="15" customFormat="false" ht="26.85" hidden="false" customHeight="false" outlineLevel="0" collapsed="false">
      <c r="B15" s="2" t="s">
        <v>22</v>
      </c>
      <c r="C15" s="3" t="s">
        <v>23</v>
      </c>
    </row>
    <row r="16" customFormat="false" ht="15" hidden="false" customHeight="false" outlineLevel="0" collapsed="false">
      <c r="B16" s="2" t="s">
        <v>24</v>
      </c>
      <c r="C16" s="3" t="s">
        <v>25</v>
      </c>
    </row>
    <row r="17" customFormat="false" ht="39.55" hidden="false" customHeight="false" outlineLevel="0" collapsed="false">
      <c r="B17" s="2" t="s">
        <v>26</v>
      </c>
      <c r="C17" s="3" t="s">
        <v>27</v>
      </c>
    </row>
    <row r="18" customFormat="false" ht="15" hidden="false" customHeight="false" outlineLevel="0" collapsed="false">
      <c r="B18" s="2"/>
      <c r="C18" s="3"/>
    </row>
    <row r="19" customFormat="false" ht="15" hidden="false" customHeight="false" outlineLevel="0" collapsed="false">
      <c r="B19" s="2" t="s">
        <v>28</v>
      </c>
      <c r="C19" s="3"/>
    </row>
    <row r="20" customFormat="false" ht="15" hidden="false" customHeight="false" outlineLevel="0" collapsed="false">
      <c r="B20" s="2" t="s">
        <v>29</v>
      </c>
      <c r="C20" s="3" t="s">
        <v>30</v>
      </c>
    </row>
    <row r="21" customFormat="false" ht="15" hidden="false" customHeight="false" outlineLevel="0" collapsed="false">
      <c r="B21" s="2" t="s">
        <v>31</v>
      </c>
      <c r="C21" s="3" t="s">
        <v>32</v>
      </c>
    </row>
    <row r="22" customFormat="false" ht="15" hidden="false" customHeight="false" outlineLevel="0" collapsed="false">
      <c r="B22" s="2"/>
      <c r="C22" s="3"/>
    </row>
    <row r="23" customFormat="false" ht="15" hidden="false" customHeight="false" outlineLevel="0" collapsed="false">
      <c r="B23" s="2" t="s">
        <v>33</v>
      </c>
      <c r="C23" s="3"/>
    </row>
    <row r="24" customFormat="false" ht="15" hidden="false" customHeight="false" outlineLevel="0" collapsed="false">
      <c r="B24" s="2" t="s">
        <v>34</v>
      </c>
      <c r="C24" s="3" t="s">
        <v>35</v>
      </c>
    </row>
    <row r="25" customFormat="false" ht="15" hidden="false" customHeight="false" outlineLevel="0" collapsed="false">
      <c r="B25" s="2" t="s">
        <v>36</v>
      </c>
      <c r="C25" s="3" t="s">
        <v>37</v>
      </c>
    </row>
    <row r="26" customFormat="false" ht="15" hidden="false" customHeight="false" outlineLevel="0" collapsed="false">
      <c r="B26" s="2" t="s">
        <v>38</v>
      </c>
      <c r="C26" s="3" t="s">
        <v>39</v>
      </c>
    </row>
    <row r="27" customFormat="false" ht="26.85" hidden="false" customHeight="false" outlineLevel="0" collapsed="false">
      <c r="B27" s="2" t="s">
        <v>40</v>
      </c>
      <c r="C27" s="3" t="s">
        <v>41</v>
      </c>
    </row>
    <row r="28" customFormat="false" ht="15" hidden="false" customHeight="false" outlineLevel="0" collapsed="false">
      <c r="B28" s="2"/>
      <c r="C28" s="3"/>
    </row>
    <row r="29" customFormat="false" ht="15" hidden="false" customHeight="false" outlineLevel="0" collapsed="false">
      <c r="B29" s="2" t="s">
        <v>42</v>
      </c>
      <c r="C29" s="3"/>
    </row>
    <row r="30" customFormat="false" ht="15" hidden="false" customHeight="false" outlineLevel="0" collapsed="false">
      <c r="B30" s="2" t="s">
        <v>43</v>
      </c>
      <c r="C30" s="3" t="s">
        <v>44</v>
      </c>
    </row>
    <row r="31" customFormat="false" ht="15" hidden="false" customHeight="false" outlineLevel="0" collapsed="false">
      <c r="B31" s="2" t="s">
        <v>45</v>
      </c>
      <c r="C31" s="3" t="s">
        <v>46</v>
      </c>
    </row>
    <row r="32" customFormat="false" ht="15" hidden="false" customHeight="false" outlineLevel="0" collapsed="false">
      <c r="B32" s="2" t="s">
        <v>47</v>
      </c>
      <c r="C32" s="3" t="s">
        <v>48</v>
      </c>
    </row>
    <row r="33" customFormat="false" ht="15" hidden="false" customHeight="false" outlineLevel="0" collapsed="false">
      <c r="B33" s="2" t="s">
        <v>49</v>
      </c>
      <c r="C33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5"/>
  </cols>
  <sheetData>
    <row r="1" customFormat="false" ht="21.75" hidden="false" customHeight="true" outlineLevel="0" collapsed="false">
      <c r="A1" s="4" t="s">
        <v>51</v>
      </c>
      <c r="B1" s="5" t="s">
        <v>52</v>
      </c>
      <c r="C1" s="5" t="s">
        <v>53</v>
      </c>
      <c r="D1" s="5" t="s">
        <v>54</v>
      </c>
    </row>
    <row r="2" customFormat="false" ht="19.5" hidden="false" customHeight="true" outlineLevel="0" collapsed="false">
      <c r="A2" s="6" t="s">
        <v>55</v>
      </c>
      <c r="B2" s="7"/>
      <c r="C2" s="7"/>
      <c r="D2" s="7"/>
    </row>
    <row r="3" customFormat="false" ht="15" hidden="false" customHeight="false" outlineLevel="0" collapsed="false">
      <c r="A3" s="3" t="s">
        <v>56</v>
      </c>
      <c r="B3" s="8" t="s">
        <v>57</v>
      </c>
      <c r="C3" s="9"/>
      <c r="D3" s="3" t="s">
        <v>58</v>
      </c>
    </row>
    <row r="4" customFormat="false" ht="15" hidden="false" customHeight="false" outlineLevel="0" collapsed="false">
      <c r="A4" s="3" t="s">
        <v>59</v>
      </c>
      <c r="B4" s="8" t="s">
        <v>60</v>
      </c>
      <c r="C4" s="9"/>
      <c r="D4" s="3" t="s">
        <v>61</v>
      </c>
    </row>
    <row r="5" customFormat="false" ht="15" hidden="false" customHeight="false" outlineLevel="0" collapsed="false">
      <c r="A5" s="3" t="s">
        <v>62</v>
      </c>
      <c r="B5" s="8" t="s">
        <v>63</v>
      </c>
      <c r="C5" s="9"/>
      <c r="D5" s="3" t="s">
        <v>64</v>
      </c>
    </row>
    <row r="6" customFormat="false" ht="15" hidden="false" customHeight="false" outlineLevel="0" collapsed="false">
      <c r="A6" s="3" t="s">
        <v>65</v>
      </c>
      <c r="B6" s="10" t="n">
        <v>0.351</v>
      </c>
      <c r="C6" s="9" t="s">
        <v>66</v>
      </c>
      <c r="D6" s="3" t="s">
        <v>67</v>
      </c>
    </row>
    <row r="8" customFormat="false" ht="19.5" hidden="false" customHeight="true" outlineLevel="0" collapsed="false">
      <c r="A8" s="6" t="s">
        <v>68</v>
      </c>
      <c r="B8" s="7"/>
      <c r="C8" s="7"/>
      <c r="D8" s="7"/>
    </row>
    <row r="9" customFormat="false" ht="39.55" hidden="false" customHeight="false" outlineLevel="0" collapsed="false">
      <c r="A9" s="3" t="s">
        <v>69</v>
      </c>
      <c r="B9" s="11" t="n">
        <v>3400</v>
      </c>
      <c r="C9" s="9" t="s">
        <v>70</v>
      </c>
      <c r="D9" s="3" t="s">
        <v>71</v>
      </c>
    </row>
    <row r="10" customFormat="false" ht="52.2" hidden="false" customHeight="false" outlineLevel="0" collapsed="false">
      <c r="A10" s="3" t="s">
        <v>72</v>
      </c>
      <c r="B10" s="12" t="n">
        <v>0.141</v>
      </c>
      <c r="C10" s="9" t="s">
        <v>73</v>
      </c>
      <c r="D10" s="3" t="s">
        <v>74</v>
      </c>
    </row>
    <row r="11" customFormat="false" ht="15" hidden="false" customHeight="false" outlineLevel="0" collapsed="false">
      <c r="A11" s="3" t="s">
        <v>75</v>
      </c>
      <c r="B11" s="13" t="n">
        <v>0.07</v>
      </c>
      <c r="C11" s="9" t="s">
        <v>73</v>
      </c>
      <c r="D11" s="3" t="s">
        <v>76</v>
      </c>
    </row>
    <row r="12" customFormat="false" ht="15" hidden="false" customHeight="false" outlineLevel="0" collapsed="false">
      <c r="A12" s="3" t="s">
        <v>77</v>
      </c>
      <c r="B12" s="13" t="n">
        <v>0.08</v>
      </c>
      <c r="C12" s="9" t="s">
        <v>73</v>
      </c>
      <c r="D12" s="3" t="s">
        <v>78</v>
      </c>
    </row>
    <row r="13" customFormat="false" ht="15" hidden="false" customHeight="false" outlineLevel="0" collapsed="false">
      <c r="A13" s="3" t="s">
        <v>79</v>
      </c>
      <c r="B13" s="13" t="n">
        <v>0.073</v>
      </c>
      <c r="C13" s="9" t="s">
        <v>73</v>
      </c>
      <c r="D13" s="3" t="s">
        <v>80</v>
      </c>
    </row>
    <row r="14" customFormat="false" ht="15" hidden="false" customHeight="false" outlineLevel="0" collapsed="false">
      <c r="A14" s="3" t="s">
        <v>81</v>
      </c>
      <c r="B14" s="14" t="n">
        <v>0</v>
      </c>
      <c r="C14" s="9" t="s">
        <v>82</v>
      </c>
      <c r="D14" s="3" t="s">
        <v>83</v>
      </c>
    </row>
    <row r="16" customFormat="false" ht="19.5" hidden="false" customHeight="true" outlineLevel="0" collapsed="false">
      <c r="A16" s="6" t="s">
        <v>84</v>
      </c>
      <c r="B16" s="7"/>
      <c r="C16" s="7"/>
      <c r="D16" s="7"/>
    </row>
    <row r="17" customFormat="false" ht="15" hidden="false" customHeight="false" outlineLevel="0" collapsed="false">
      <c r="A17" s="3" t="s">
        <v>85</v>
      </c>
      <c r="B17" s="15" t="n">
        <v>0.02</v>
      </c>
      <c r="C17" s="9" t="s">
        <v>73</v>
      </c>
      <c r="D17" s="3" t="s">
        <v>86</v>
      </c>
    </row>
    <row r="18" customFormat="false" ht="15" hidden="false" customHeight="false" outlineLevel="0" collapsed="false">
      <c r="A18" s="3" t="s">
        <v>87</v>
      </c>
      <c r="B18" s="15" t="n">
        <v>0.025</v>
      </c>
      <c r="C18" s="9" t="s">
        <v>73</v>
      </c>
      <c r="D18" s="3" t="s">
        <v>88</v>
      </c>
    </row>
    <row r="19" customFormat="false" ht="26.85" hidden="false" customHeight="false" outlineLevel="0" collapsed="false">
      <c r="A19" s="3" t="s">
        <v>89</v>
      </c>
      <c r="B19" s="15" t="n">
        <v>0.025</v>
      </c>
      <c r="C19" s="9" t="s">
        <v>73</v>
      </c>
      <c r="D19" s="3" t="s">
        <v>90</v>
      </c>
    </row>
    <row r="20" customFormat="false" ht="15" hidden="false" customHeight="false" outlineLevel="0" collapsed="false">
      <c r="A20" s="3" t="s">
        <v>91</v>
      </c>
      <c r="B20" s="15" t="n">
        <v>0.02</v>
      </c>
      <c r="C20" s="9" t="s">
        <v>73</v>
      </c>
      <c r="D20" s="3" t="s">
        <v>92</v>
      </c>
    </row>
    <row r="22" customFormat="false" ht="19.5" hidden="false" customHeight="true" outlineLevel="0" collapsed="false">
      <c r="A22" s="6" t="s">
        <v>93</v>
      </c>
      <c r="B22" s="7"/>
      <c r="C22" s="7"/>
      <c r="D22" s="7"/>
    </row>
    <row r="23" customFormat="false" ht="15" hidden="false" customHeight="false" outlineLevel="0" collapsed="false">
      <c r="A23" s="3" t="s">
        <v>94</v>
      </c>
      <c r="B23" s="16" t="n">
        <v>1.15</v>
      </c>
      <c r="C23" s="9"/>
      <c r="D23" s="3" t="s">
        <v>95</v>
      </c>
    </row>
    <row r="24" customFormat="false" ht="15" hidden="false" customHeight="false" outlineLevel="0" collapsed="false">
      <c r="A24" s="3" t="s">
        <v>96</v>
      </c>
      <c r="B24" s="15" t="n">
        <v>0.004</v>
      </c>
      <c r="C24" s="9"/>
      <c r="D24" s="3" t="s">
        <v>97</v>
      </c>
    </row>
    <row r="25" customFormat="false" ht="15" hidden="false" customHeight="false" outlineLevel="0" collapsed="false">
      <c r="A25" s="3" t="s">
        <v>98</v>
      </c>
      <c r="B25" s="17" t="n">
        <f aca="false">B23*B19+B24</f>
        <v>0.03275</v>
      </c>
      <c r="C25" s="9" t="s">
        <v>73</v>
      </c>
      <c r="D25" s="3" t="s">
        <v>99</v>
      </c>
    </row>
    <row r="26" customFormat="false" ht="15" hidden="false" customHeight="false" outlineLevel="0" collapsed="false">
      <c r="A26" s="3" t="s">
        <v>100</v>
      </c>
      <c r="B26" s="18" t="n">
        <v>0.7</v>
      </c>
      <c r="C26" s="9"/>
      <c r="D26" s="3" t="s">
        <v>101</v>
      </c>
    </row>
    <row r="27" customFormat="false" ht="15" hidden="false" customHeight="false" outlineLevel="0" collapsed="false">
      <c r="A27" s="3" t="s">
        <v>102</v>
      </c>
      <c r="B27" s="18" t="n">
        <v>0.3</v>
      </c>
      <c r="C27" s="9"/>
      <c r="D27" s="3" t="s">
        <v>103</v>
      </c>
    </row>
    <row r="28" customFormat="false" ht="15" hidden="false" customHeight="false" outlineLevel="0" collapsed="false">
      <c r="A28" s="3" t="s">
        <v>104</v>
      </c>
      <c r="B28" s="15" t="n">
        <v>0.005</v>
      </c>
      <c r="C28" s="9" t="s">
        <v>73</v>
      </c>
      <c r="D28" s="3" t="s">
        <v>105</v>
      </c>
    </row>
    <row r="29" customFormat="false" ht="26.85" hidden="false" customHeight="false" outlineLevel="0" collapsed="false">
      <c r="A29" s="3" t="s">
        <v>106</v>
      </c>
      <c r="B29" s="17" t="n">
        <f aca="false">B26*B18+B27*B20+B28</f>
        <v>0.0285</v>
      </c>
      <c r="C29" s="9" t="s">
        <v>73</v>
      </c>
      <c r="D29" s="3" t="s">
        <v>107</v>
      </c>
    </row>
    <row r="30" customFormat="false" ht="15" hidden="false" customHeight="false" outlineLevel="0" collapsed="false">
      <c r="A30" s="3" t="s">
        <v>108</v>
      </c>
      <c r="B30" s="17" t="n">
        <f aca="false">(1+B25)*(1+B29)-1</f>
        <v>0.062183375</v>
      </c>
      <c r="C30" s="9" t="s">
        <v>73</v>
      </c>
      <c r="D30" s="3" t="s">
        <v>109</v>
      </c>
    </row>
    <row r="32" customFormat="false" ht="19.5" hidden="false" customHeight="true" outlineLevel="0" collapsed="false">
      <c r="A32" s="6" t="s">
        <v>110</v>
      </c>
      <c r="B32" s="7"/>
      <c r="C32" s="7"/>
      <c r="D32" s="7"/>
    </row>
    <row r="33" customFormat="false" ht="26.85" hidden="false" customHeight="false" outlineLevel="0" collapsed="false">
      <c r="A33" s="3" t="s">
        <v>111</v>
      </c>
      <c r="B33" s="13" t="n">
        <v>0.9</v>
      </c>
      <c r="C33" s="9" t="s">
        <v>73</v>
      </c>
      <c r="D33" s="3" t="s">
        <v>112</v>
      </c>
    </row>
    <row r="34" customFormat="false" ht="15" hidden="false" customHeight="false" outlineLevel="0" collapsed="false">
      <c r="A34" s="3" t="s">
        <v>113</v>
      </c>
      <c r="B34" s="13" t="n">
        <v>0.1</v>
      </c>
      <c r="C34" s="9" t="s">
        <v>73</v>
      </c>
      <c r="D34" s="3" t="s">
        <v>114</v>
      </c>
    </row>
    <row r="35" customFormat="false" ht="26.85" hidden="false" customHeight="false" outlineLevel="0" collapsed="false">
      <c r="A35" s="3" t="s">
        <v>115</v>
      </c>
      <c r="B35" s="16" t="n">
        <v>1.3</v>
      </c>
      <c r="C35" s="9"/>
      <c r="D35" s="3" t="s">
        <v>116</v>
      </c>
    </row>
    <row r="36" customFormat="false" ht="15" hidden="false" customHeight="false" outlineLevel="0" collapsed="false">
      <c r="A36" s="3" t="s">
        <v>117</v>
      </c>
      <c r="B36" s="19" t="n">
        <f aca="false">B33+B34*B35</f>
        <v>1.03</v>
      </c>
      <c r="C36" s="9"/>
      <c r="D36" s="3" t="s">
        <v>118</v>
      </c>
    </row>
    <row r="37" customFormat="false" ht="15" hidden="false" customHeight="false" outlineLevel="0" collapsed="false">
      <c r="A37" s="3" t="s">
        <v>119</v>
      </c>
      <c r="B37" s="15" t="n">
        <v>-0.005</v>
      </c>
      <c r="C37" s="9" t="s">
        <v>73</v>
      </c>
      <c r="D37" s="3" t="s">
        <v>120</v>
      </c>
    </row>
    <row r="38" customFormat="false" ht="26.85" hidden="false" customHeight="false" outlineLevel="0" collapsed="false">
      <c r="A38" s="3" t="s">
        <v>121</v>
      </c>
      <c r="B38" s="17" t="n">
        <f aca="false">B30*B36+B37</f>
        <v>0.05904887625</v>
      </c>
      <c r="C38" s="9" t="s">
        <v>73</v>
      </c>
      <c r="D38" s="3" t="s">
        <v>122</v>
      </c>
    </row>
    <row r="40" customFormat="false" ht="19.5" hidden="false" customHeight="true" outlineLevel="0" collapsed="false">
      <c r="A40" s="6" t="s">
        <v>123</v>
      </c>
      <c r="B40" s="7"/>
      <c r="C40" s="7"/>
      <c r="D40" s="7"/>
    </row>
    <row r="41" customFormat="false" ht="26.85" hidden="false" customHeight="false" outlineLevel="0" collapsed="false">
      <c r="A41" s="3" t="s">
        <v>124</v>
      </c>
      <c r="B41" s="15" t="n">
        <v>0.006</v>
      </c>
      <c r="C41" s="9" t="s">
        <v>125</v>
      </c>
      <c r="D41" s="3" t="s">
        <v>126</v>
      </c>
    </row>
    <row r="42" customFormat="false" ht="15" hidden="false" customHeight="false" outlineLevel="0" collapsed="false">
      <c r="A42" s="3" t="s">
        <v>127</v>
      </c>
      <c r="B42" s="15" t="n">
        <v>0.018</v>
      </c>
      <c r="C42" s="9" t="s">
        <v>125</v>
      </c>
      <c r="D42" s="3" t="s">
        <v>128</v>
      </c>
    </row>
    <row r="43" customFormat="false" ht="15" hidden="false" customHeight="false" outlineLevel="0" collapsed="false">
      <c r="A43" s="3" t="s">
        <v>129</v>
      </c>
      <c r="B43" s="15" t="n">
        <v>0.02</v>
      </c>
      <c r="C43" s="9" t="s">
        <v>125</v>
      </c>
      <c r="D43" s="3" t="s">
        <v>130</v>
      </c>
    </row>
    <row r="44" customFormat="false" ht="15" hidden="false" customHeight="false" outlineLevel="0" collapsed="false">
      <c r="A44" s="3" t="s">
        <v>131</v>
      </c>
      <c r="B44" s="15" t="n">
        <v>0.02</v>
      </c>
      <c r="C44" s="9" t="s">
        <v>125</v>
      </c>
      <c r="D44" s="3" t="s">
        <v>132</v>
      </c>
    </row>
    <row r="45" customFormat="false" ht="15" hidden="false" customHeight="false" outlineLevel="0" collapsed="false">
      <c r="A45" s="3" t="s">
        <v>133</v>
      </c>
      <c r="B45" s="15" t="n">
        <v>0.02</v>
      </c>
      <c r="C45" s="9" t="s">
        <v>125</v>
      </c>
      <c r="D45" s="3" t="s">
        <v>132</v>
      </c>
    </row>
    <row r="47" customFormat="false" ht="19.5" hidden="false" customHeight="true" outlineLevel="0" collapsed="false">
      <c r="A47" s="6" t="s">
        <v>134</v>
      </c>
      <c r="B47" s="7"/>
      <c r="C47" s="7"/>
      <c r="D47" s="7"/>
    </row>
    <row r="48" customFormat="false" ht="15" hidden="false" customHeight="false" outlineLevel="0" collapsed="false">
      <c r="A48" s="3" t="s">
        <v>135</v>
      </c>
      <c r="B48" s="15" t="n">
        <v>0</v>
      </c>
      <c r="C48" s="9" t="s">
        <v>125</v>
      </c>
      <c r="D48" s="3" t="s">
        <v>136</v>
      </c>
    </row>
    <row r="49" customFormat="false" ht="15" hidden="false" customHeight="false" outlineLevel="0" collapsed="false">
      <c r="A49" s="3" t="s">
        <v>137</v>
      </c>
      <c r="B49" s="15" t="n">
        <v>0</v>
      </c>
      <c r="C49" s="9" t="s">
        <v>125</v>
      </c>
      <c r="D49" s="3" t="s">
        <v>136</v>
      </c>
    </row>
    <row r="50" customFormat="false" ht="15" hidden="false" customHeight="false" outlineLevel="0" collapsed="false">
      <c r="A50" s="3" t="s">
        <v>138</v>
      </c>
      <c r="B50" s="20" t="n">
        <v>-0.005</v>
      </c>
      <c r="C50" s="9" t="s">
        <v>125</v>
      </c>
      <c r="D50" s="3" t="s">
        <v>139</v>
      </c>
    </row>
    <row r="51" customFormat="false" ht="15" hidden="false" customHeight="false" outlineLevel="0" collapsed="false">
      <c r="A51" s="3" t="s">
        <v>140</v>
      </c>
      <c r="B51" s="15" t="n">
        <v>-0.01</v>
      </c>
      <c r="C51" s="9" t="s">
        <v>125</v>
      </c>
      <c r="D51" s="3" t="s">
        <v>141</v>
      </c>
    </row>
    <row r="52" customFormat="false" ht="15" hidden="false" customHeight="false" outlineLevel="0" collapsed="false">
      <c r="A52" s="3" t="s">
        <v>142</v>
      </c>
      <c r="B52" s="20" t="n">
        <v>-0.015</v>
      </c>
      <c r="C52" s="9" t="s">
        <v>125</v>
      </c>
      <c r="D52" s="3" t="s">
        <v>143</v>
      </c>
    </row>
    <row r="54" customFormat="false" ht="19.5" hidden="false" customHeight="true" outlineLevel="0" collapsed="false">
      <c r="A54" s="6" t="s">
        <v>144</v>
      </c>
      <c r="B54" s="7"/>
      <c r="C54" s="7"/>
      <c r="D54" s="7"/>
    </row>
    <row r="55" customFormat="false" ht="15" hidden="false" customHeight="false" outlineLevel="0" collapsed="false">
      <c r="A55" s="3" t="s">
        <v>145</v>
      </c>
      <c r="B55" s="12" t="n">
        <v>0.225</v>
      </c>
      <c r="C55" s="9" t="s">
        <v>73</v>
      </c>
      <c r="D55" s="3" t="s">
        <v>146</v>
      </c>
    </row>
    <row r="56" customFormat="false" ht="39.55" hidden="false" customHeight="false" outlineLevel="0" collapsed="false">
      <c r="A56" s="3" t="s">
        <v>147</v>
      </c>
      <c r="B56" s="12" t="n">
        <v>0.275</v>
      </c>
      <c r="C56" s="9" t="s">
        <v>73</v>
      </c>
      <c r="D56" s="3" t="s">
        <v>148</v>
      </c>
    </row>
    <row r="57" customFormat="false" ht="26.85" hidden="false" customHeight="false" outlineLevel="0" collapsed="false">
      <c r="A57" s="3" t="s">
        <v>149</v>
      </c>
      <c r="B57" s="21" t="n">
        <f aca="false">B55</f>
        <v>0.225</v>
      </c>
      <c r="C57" s="9" t="s">
        <v>73</v>
      </c>
      <c r="D57" s="3" t="s">
        <v>150</v>
      </c>
    </row>
    <row r="58" customFormat="false" ht="15" hidden="false" customHeight="false" outlineLevel="0" collapsed="false">
      <c r="A58" s="3" t="s">
        <v>151</v>
      </c>
      <c r="B58" s="21" t="n">
        <f aca="false">B55+(B56-B55)*1/4</f>
        <v>0.2375</v>
      </c>
      <c r="C58" s="9" t="s">
        <v>73</v>
      </c>
      <c r="D58" s="3" t="s">
        <v>152</v>
      </c>
    </row>
    <row r="59" customFormat="false" ht="15" hidden="false" customHeight="false" outlineLevel="0" collapsed="false">
      <c r="A59" s="3" t="s">
        <v>153</v>
      </c>
      <c r="B59" s="21" t="n">
        <f aca="false">B55+(B56-B55)*2/4</f>
        <v>0.25</v>
      </c>
      <c r="C59" s="9" t="s">
        <v>73</v>
      </c>
      <c r="D59" s="3"/>
    </row>
    <row r="60" customFormat="false" ht="15" hidden="false" customHeight="false" outlineLevel="0" collapsed="false">
      <c r="A60" s="3" t="s">
        <v>154</v>
      </c>
      <c r="B60" s="21" t="n">
        <f aca="false">B55+(B56-B55)*3/4</f>
        <v>0.2625</v>
      </c>
      <c r="C60" s="9" t="s">
        <v>73</v>
      </c>
      <c r="D60" s="3"/>
    </row>
    <row r="61" customFormat="false" ht="15" hidden="false" customHeight="false" outlineLevel="0" collapsed="false">
      <c r="A61" s="3" t="s">
        <v>155</v>
      </c>
      <c r="B61" s="21" t="n">
        <f aca="false">B56</f>
        <v>0.275</v>
      </c>
      <c r="C61" s="9" t="s">
        <v>73</v>
      </c>
      <c r="D61" s="3" t="s">
        <v>156</v>
      </c>
    </row>
    <row r="62" customFormat="false" ht="39.55" hidden="false" customHeight="false" outlineLevel="0" collapsed="false">
      <c r="A62" s="3" t="s">
        <v>157</v>
      </c>
      <c r="B62" s="21" t="n">
        <f aca="false">B56</f>
        <v>0.275</v>
      </c>
      <c r="C62" s="9" t="s">
        <v>73</v>
      </c>
      <c r="D62" s="3" t="s">
        <v>158</v>
      </c>
    </row>
    <row r="64" customFormat="false" ht="19.5" hidden="false" customHeight="true" outlineLevel="0" collapsed="false">
      <c r="A64" s="6" t="s">
        <v>159</v>
      </c>
      <c r="B64" s="7"/>
      <c r="C64" s="7"/>
      <c r="D64" s="7"/>
    </row>
    <row r="65" customFormat="false" ht="39.55" hidden="false" customHeight="false" outlineLevel="0" collapsed="false">
      <c r="A65" s="3" t="s">
        <v>160</v>
      </c>
      <c r="B65" s="20" t="n">
        <v>0.043</v>
      </c>
      <c r="C65" s="9" t="s">
        <v>73</v>
      </c>
      <c r="D65" s="3" t="s">
        <v>161</v>
      </c>
    </row>
    <row r="66" customFormat="false" ht="26.85" hidden="false" customHeight="false" outlineLevel="0" collapsed="false">
      <c r="A66" s="3" t="s">
        <v>162</v>
      </c>
      <c r="B66" s="20" t="n">
        <v>0.05</v>
      </c>
      <c r="C66" s="9" t="s">
        <v>73</v>
      </c>
      <c r="D66" s="3" t="s">
        <v>163</v>
      </c>
    </row>
    <row r="67" customFormat="false" ht="90.25" hidden="false" customHeight="false" outlineLevel="0" collapsed="false">
      <c r="A67" s="3" t="s">
        <v>164</v>
      </c>
      <c r="B67" s="22" t="n">
        <v>0.95</v>
      </c>
      <c r="C67" s="9"/>
      <c r="D67" s="3" t="s">
        <v>165</v>
      </c>
    </row>
    <row r="68" customFormat="false" ht="15" hidden="false" customHeight="false" outlineLevel="0" collapsed="false">
      <c r="A68" s="3" t="s">
        <v>166</v>
      </c>
      <c r="B68" s="15" t="n">
        <v>0.06</v>
      </c>
      <c r="C68" s="9" t="s">
        <v>73</v>
      </c>
      <c r="D68" s="3" t="s">
        <v>167</v>
      </c>
    </row>
    <row r="69" customFormat="false" ht="15" hidden="false" customHeight="false" outlineLevel="0" collapsed="false">
      <c r="A69" s="3" t="s">
        <v>168</v>
      </c>
      <c r="B69" s="14" t="n">
        <v>6390</v>
      </c>
      <c r="C69" s="9" t="s">
        <v>70</v>
      </c>
      <c r="D69" s="3" t="s">
        <v>169</v>
      </c>
    </row>
    <row r="70" customFormat="false" ht="15" hidden="false" customHeight="false" outlineLevel="0" collapsed="false">
      <c r="A70" s="3" t="s">
        <v>170</v>
      </c>
      <c r="B70" s="14" t="n">
        <v>1260.8</v>
      </c>
      <c r="C70" s="9" t="s">
        <v>70</v>
      </c>
      <c r="D70" s="3" t="s">
        <v>171</v>
      </c>
    </row>
    <row r="72" customFormat="false" ht="19.5" hidden="false" customHeight="true" outlineLevel="0" collapsed="false">
      <c r="A72" s="6" t="s">
        <v>172</v>
      </c>
      <c r="B72" s="7"/>
      <c r="C72" s="7"/>
      <c r="D72" s="7"/>
    </row>
    <row r="73" customFormat="false" ht="15" hidden="false" customHeight="false" outlineLevel="0" collapsed="false">
      <c r="A73" s="3" t="s">
        <v>173</v>
      </c>
      <c r="B73" s="12" t="n">
        <v>0.025</v>
      </c>
      <c r="C73" s="9" t="s">
        <v>73</v>
      </c>
      <c r="D73" s="3" t="s">
        <v>174</v>
      </c>
    </row>
    <row r="74" customFormat="false" ht="15" hidden="false" customHeight="false" outlineLevel="0" collapsed="false">
      <c r="A74" s="3" t="s">
        <v>175</v>
      </c>
      <c r="B74" s="23" t="n">
        <v>5</v>
      </c>
      <c r="C74" s="9" t="s">
        <v>66</v>
      </c>
      <c r="D74" s="3" t="s">
        <v>176</v>
      </c>
    </row>
    <row r="76" customFormat="false" ht="19.5" hidden="false" customHeight="true" outlineLevel="0" collapsed="false">
      <c r="A76" s="6" t="s">
        <v>177</v>
      </c>
      <c r="B76" s="7"/>
      <c r="C76" s="7"/>
      <c r="D76" s="7"/>
    </row>
    <row r="77" customFormat="false" ht="64.9" hidden="false" customHeight="false" outlineLevel="0" collapsed="false">
      <c r="A77" s="3" t="s">
        <v>178</v>
      </c>
      <c r="B77" s="11" t="n">
        <v>1770</v>
      </c>
      <c r="C77" s="9" t="s">
        <v>179</v>
      </c>
      <c r="D77" s="3" t="s">
        <v>180</v>
      </c>
    </row>
    <row r="79" customFormat="false" ht="19.5" hidden="false" customHeight="true" outlineLevel="0" collapsed="false">
      <c r="A79" s="6" t="s">
        <v>181</v>
      </c>
      <c r="B79" s="7"/>
      <c r="C79" s="7"/>
      <c r="D79" s="7"/>
    </row>
    <row r="80" customFormat="false" ht="15" hidden="false" customHeight="false" outlineLevel="0" collapsed="false">
      <c r="A80" s="3" t="s">
        <v>182</v>
      </c>
      <c r="B80" s="23" t="n">
        <v>55</v>
      </c>
      <c r="C80" s="9" t="s">
        <v>183</v>
      </c>
      <c r="D80" s="3" t="s">
        <v>184</v>
      </c>
    </row>
    <row r="81" customFormat="false" ht="15" hidden="false" customHeight="false" outlineLevel="0" collapsed="false">
      <c r="A81" s="3" t="s">
        <v>185</v>
      </c>
      <c r="B81" s="19" t="n">
        <f aca="false">B80/365</f>
        <v>0.150684931506849</v>
      </c>
      <c r="C81" s="9" t="s">
        <v>66</v>
      </c>
      <c r="D81" s="3" t="s">
        <v>186</v>
      </c>
    </row>
    <row r="82" customFormat="false" ht="52.2" hidden="false" customHeight="false" outlineLevel="0" collapsed="false">
      <c r="A82" s="3" t="s">
        <v>187</v>
      </c>
      <c r="B82" s="11" t="n">
        <v>500</v>
      </c>
      <c r="C82" s="9" t="s">
        <v>82</v>
      </c>
      <c r="D82" s="3" t="s">
        <v>188</v>
      </c>
    </row>
    <row r="83" customFormat="false" ht="15" hidden="false" customHeight="false" outlineLevel="0" collapsed="false">
      <c r="A83" s="3" t="s">
        <v>189</v>
      </c>
      <c r="B83" s="14" t="n">
        <v>256</v>
      </c>
      <c r="C83" s="9" t="s">
        <v>82</v>
      </c>
      <c r="D83" s="3" t="s">
        <v>190</v>
      </c>
    </row>
    <row r="85" customFormat="false" ht="19.5" hidden="false" customHeight="true" outlineLevel="0" collapsed="false">
      <c r="A85" s="6" t="s">
        <v>191</v>
      </c>
      <c r="B85" s="7"/>
      <c r="C85" s="7"/>
      <c r="D85" s="7"/>
    </row>
    <row r="86" customFormat="false" ht="26.85" hidden="false" customHeight="false" outlineLevel="0" collapsed="false">
      <c r="A86" s="3" t="s">
        <v>192</v>
      </c>
      <c r="B86" s="11" t="n">
        <v>81.4</v>
      </c>
      <c r="C86" s="9" t="s">
        <v>70</v>
      </c>
      <c r="D86" s="3" t="s">
        <v>193</v>
      </c>
    </row>
    <row r="87" customFormat="false" ht="26.85" hidden="false" customHeight="false" outlineLevel="0" collapsed="false">
      <c r="A87" s="3" t="s">
        <v>194</v>
      </c>
      <c r="B87" s="14" t="n">
        <v>126</v>
      </c>
      <c r="C87" s="9" t="s">
        <v>70</v>
      </c>
      <c r="D87" s="3" t="s">
        <v>195</v>
      </c>
    </row>
    <row r="88" customFormat="false" ht="15" hidden="false" customHeight="false" outlineLevel="0" collapsed="false">
      <c r="A88" s="3" t="s">
        <v>196</v>
      </c>
      <c r="B88" s="14" t="n">
        <v>82</v>
      </c>
      <c r="C88" s="9" t="s">
        <v>70</v>
      </c>
      <c r="D88" s="3" t="s">
        <v>197</v>
      </c>
    </row>
    <row r="89" customFormat="false" ht="15" hidden="false" customHeight="false" outlineLevel="0" collapsed="false">
      <c r="A89" s="3" t="s">
        <v>198</v>
      </c>
      <c r="B89" s="24" t="n">
        <f aca="false">B87-B88</f>
        <v>44</v>
      </c>
      <c r="C89" s="9" t="s">
        <v>70</v>
      </c>
      <c r="D89" s="3" t="s">
        <v>199</v>
      </c>
    </row>
    <row r="90" customFormat="false" ht="26.85" hidden="false" customHeight="false" outlineLevel="0" collapsed="false">
      <c r="A90" s="3" t="s">
        <v>200</v>
      </c>
      <c r="B90" s="11" t="n">
        <v>80</v>
      </c>
      <c r="C90" s="9" t="s">
        <v>70</v>
      </c>
      <c r="D90" s="3" t="s">
        <v>201</v>
      </c>
    </row>
    <row r="91" customFormat="false" ht="26.85" hidden="false" customHeight="false" outlineLevel="0" collapsed="false">
      <c r="A91" s="3" t="s">
        <v>202</v>
      </c>
      <c r="B91" s="14" t="n">
        <v>12</v>
      </c>
      <c r="C91" s="9" t="s">
        <v>70</v>
      </c>
      <c r="D91" s="3" t="s">
        <v>203</v>
      </c>
    </row>
    <row r="92" customFormat="false" ht="39.55" hidden="false" customHeight="false" outlineLevel="0" collapsed="false">
      <c r="A92" s="3" t="s">
        <v>204</v>
      </c>
      <c r="B92" s="14" t="n">
        <v>35</v>
      </c>
      <c r="C92" s="9" t="s">
        <v>70</v>
      </c>
      <c r="D92" s="3" t="s">
        <v>205</v>
      </c>
    </row>
    <row r="93" customFormat="false" ht="39.55" hidden="false" customHeight="false" outlineLevel="0" collapsed="false">
      <c r="A93" s="3" t="s">
        <v>206</v>
      </c>
      <c r="B93" s="14" t="n">
        <v>97</v>
      </c>
      <c r="C93" s="9" t="s">
        <v>70</v>
      </c>
      <c r="D93" s="3" t="s">
        <v>207</v>
      </c>
    </row>
    <row r="94" customFormat="false" ht="26.85" hidden="false" customHeight="false" outlineLevel="0" collapsed="false">
      <c r="A94" s="3" t="s">
        <v>208</v>
      </c>
      <c r="B94" s="14" t="n">
        <v>11</v>
      </c>
      <c r="C94" s="9" t="s">
        <v>70</v>
      </c>
      <c r="D94" s="3" t="s">
        <v>209</v>
      </c>
    </row>
    <row r="95" customFormat="false" ht="26.85" hidden="false" customHeight="false" outlineLevel="0" collapsed="false">
      <c r="A95" s="3" t="s">
        <v>210</v>
      </c>
      <c r="B95" s="14" t="n">
        <v>145</v>
      </c>
      <c r="C95" s="9" t="s">
        <v>70</v>
      </c>
      <c r="D95" s="3" t="s">
        <v>211</v>
      </c>
    </row>
    <row r="96" customFormat="false" ht="15" hidden="false" customHeight="false" outlineLevel="0" collapsed="false">
      <c r="A96" s="3" t="s">
        <v>212</v>
      </c>
      <c r="B96" s="13" t="n">
        <v>0.5</v>
      </c>
      <c r="C96" s="9" t="s">
        <v>73</v>
      </c>
      <c r="D96" s="3" t="s">
        <v>213</v>
      </c>
    </row>
    <row r="97" customFormat="false" ht="15" hidden="false" customHeight="false" outlineLevel="0" collapsed="false">
      <c r="A97" s="3" t="s">
        <v>214</v>
      </c>
      <c r="B97" s="24" t="n">
        <f aca="false">B95*B96</f>
        <v>72.5</v>
      </c>
      <c r="C97" s="9" t="s">
        <v>70</v>
      </c>
      <c r="D97" s="3" t="s">
        <v>215</v>
      </c>
    </row>
    <row r="98" customFormat="false" ht="26.85" hidden="false" customHeight="false" outlineLevel="0" collapsed="false">
      <c r="A98" s="3" t="s">
        <v>216</v>
      </c>
      <c r="B98" s="14" t="n">
        <v>125</v>
      </c>
      <c r="C98" s="9" t="s">
        <v>70</v>
      </c>
      <c r="D98" s="3" t="s">
        <v>217</v>
      </c>
    </row>
    <row r="99" customFormat="false" ht="26.85" hidden="false" customHeight="false" outlineLevel="0" collapsed="false">
      <c r="A99" s="3" t="s">
        <v>218</v>
      </c>
      <c r="B99" s="13" t="n">
        <v>0.85</v>
      </c>
      <c r="C99" s="9" t="s">
        <v>73</v>
      </c>
      <c r="D99" s="3" t="s">
        <v>219</v>
      </c>
    </row>
    <row r="100" customFormat="false" ht="15" hidden="false" customHeight="false" outlineLevel="0" collapsed="false">
      <c r="A100" s="3" t="s">
        <v>220</v>
      </c>
      <c r="B100" s="24" t="n">
        <f aca="false">B98*B99</f>
        <v>106.25</v>
      </c>
      <c r="C100" s="9" t="s">
        <v>70</v>
      </c>
      <c r="D100" s="3" t="s">
        <v>215</v>
      </c>
    </row>
    <row r="101" customFormat="false" ht="26.85" hidden="false" customHeight="false" outlineLevel="0" collapsed="false">
      <c r="A101" s="3" t="s">
        <v>221</v>
      </c>
      <c r="B101" s="14" t="n">
        <v>100</v>
      </c>
      <c r="C101" s="9" t="s">
        <v>70</v>
      </c>
      <c r="D101" s="3" t="s">
        <v>222</v>
      </c>
    </row>
    <row r="102" customFormat="false" ht="15" hidden="false" customHeight="false" outlineLevel="0" collapsed="false">
      <c r="A102" s="3" t="s">
        <v>223</v>
      </c>
      <c r="B102" s="13" t="n">
        <v>0.3</v>
      </c>
      <c r="C102" s="9" t="s">
        <v>73</v>
      </c>
      <c r="D102" s="3" t="s">
        <v>224</v>
      </c>
    </row>
    <row r="103" customFormat="false" ht="15" hidden="false" customHeight="false" outlineLevel="0" collapsed="false">
      <c r="A103" s="3" t="s">
        <v>225</v>
      </c>
      <c r="B103" s="24" t="n">
        <f aca="false">B101*B102</f>
        <v>30</v>
      </c>
      <c r="C103" s="9" t="s">
        <v>70</v>
      </c>
      <c r="D103" s="3" t="s">
        <v>215</v>
      </c>
    </row>
    <row r="105" customFormat="false" ht="19.5" hidden="false" customHeight="true" outlineLevel="0" collapsed="false">
      <c r="A105" s="6" t="s">
        <v>226</v>
      </c>
      <c r="B105" s="7"/>
      <c r="C105" s="7"/>
      <c r="D105" s="7"/>
    </row>
    <row r="106" customFormat="false" ht="15" hidden="false" customHeight="false" outlineLevel="0" collapsed="false">
      <c r="A106" s="3" t="s">
        <v>227</v>
      </c>
      <c r="B106" s="25" t="n">
        <v>3.61</v>
      </c>
      <c r="C106" s="9" t="s">
        <v>228</v>
      </c>
      <c r="D106" s="3" t="s">
        <v>229</v>
      </c>
    </row>
    <row r="107" customFormat="false" ht="15" hidden="false" customHeight="false" outlineLevel="0" collapsed="false">
      <c r="A107" s="3" t="s">
        <v>230</v>
      </c>
      <c r="B107" s="25" t="n">
        <v>3.61</v>
      </c>
      <c r="C107" s="9" t="s">
        <v>228</v>
      </c>
      <c r="D107" s="3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65"/>
  </cols>
  <sheetData>
    <row r="1" customFormat="false" ht="16.15" hidden="false" customHeight="false" outlineLevel="0" collapsed="false">
      <c r="A1" s="26" t="s">
        <v>232</v>
      </c>
      <c r="B1" s="26"/>
      <c r="C1" s="26"/>
      <c r="D1" s="26"/>
      <c r="E1" s="26"/>
    </row>
    <row r="3" customFormat="false" ht="15" hidden="false" customHeight="false" outlineLevel="0" collapsed="false">
      <c r="A3" s="4" t="s">
        <v>233</v>
      </c>
      <c r="B3" s="7"/>
      <c r="C3" s="7"/>
      <c r="D3" s="7"/>
      <c r="E3" s="7"/>
    </row>
    <row r="4" customFormat="false" ht="15" hidden="false" customHeight="false" outlineLevel="0" collapsed="false">
      <c r="A4" s="4" t="s">
        <v>234</v>
      </c>
      <c r="B4" s="5" t="s">
        <v>235</v>
      </c>
      <c r="C4" s="5" t="s">
        <v>236</v>
      </c>
      <c r="D4" s="5" t="s">
        <v>237</v>
      </c>
      <c r="E4" s="5" t="s">
        <v>54</v>
      </c>
    </row>
    <row r="5" customFormat="false" ht="15" hidden="false" customHeight="false" outlineLevel="0" collapsed="false">
      <c r="A5" s="27" t="s">
        <v>238</v>
      </c>
      <c r="B5" s="28" t="n">
        <v>0.55</v>
      </c>
      <c r="C5" s="28" t="n">
        <v>0.26</v>
      </c>
      <c r="D5" s="29" t="n">
        <f aca="false">B5*C5</f>
        <v>0.143</v>
      </c>
    </row>
    <row r="6" customFormat="false" ht="15" hidden="false" customHeight="false" outlineLevel="0" collapsed="false">
      <c r="A6" s="27" t="s">
        <v>239</v>
      </c>
      <c r="B6" s="28" t="n">
        <v>0.35</v>
      </c>
      <c r="C6" s="28" t="n">
        <v>0.3</v>
      </c>
      <c r="D6" s="29" t="n">
        <f aca="false">B6*C6</f>
        <v>0.105</v>
      </c>
    </row>
    <row r="7" customFormat="false" ht="15" hidden="false" customHeight="false" outlineLevel="0" collapsed="false">
      <c r="A7" s="27" t="s">
        <v>240</v>
      </c>
      <c r="B7" s="28" t="n">
        <v>0.1</v>
      </c>
      <c r="C7" s="28" t="n">
        <v>0.27</v>
      </c>
      <c r="D7" s="29" t="n">
        <f aca="false">B7*C7</f>
        <v>0.027</v>
      </c>
    </row>
    <row r="8" customFormat="false" ht="39.55" hidden="false" customHeight="false" outlineLevel="0" collapsed="false">
      <c r="A8" s="2" t="s">
        <v>241</v>
      </c>
      <c r="B8" s="30" t="n">
        <f aca="false">SUM(B5:B7)</f>
        <v>1</v>
      </c>
      <c r="D8" s="31" t="n">
        <f aca="false">SUM(D5:D7)</f>
        <v>0.275</v>
      </c>
      <c r="E8" s="3" t="s">
        <v>242</v>
      </c>
    </row>
    <row r="10" customFormat="false" ht="15" hidden="false" customHeight="false" outlineLevel="0" collapsed="false">
      <c r="A10" s="4" t="s">
        <v>243</v>
      </c>
      <c r="B10" s="7"/>
      <c r="C10" s="7"/>
      <c r="D10" s="7"/>
      <c r="E10" s="7"/>
    </row>
    <row r="11" customFormat="false" ht="15" hidden="false" customHeight="false" outlineLevel="0" collapsed="false">
      <c r="A11" s="4" t="s">
        <v>244</v>
      </c>
      <c r="B11" s="5" t="s">
        <v>245</v>
      </c>
      <c r="C11" s="5"/>
      <c r="D11" s="5"/>
      <c r="E11" s="5" t="s">
        <v>246</v>
      </c>
    </row>
    <row r="12" customFormat="false" ht="15" hidden="false" customHeight="false" outlineLevel="0" collapsed="false">
      <c r="A12" s="27" t="s">
        <v>247</v>
      </c>
      <c r="B12" s="32" t="n">
        <f aca="false">Assumptions!$B$55+(D8-Assumptions!$B$55)*0/4</f>
        <v>0.225</v>
      </c>
      <c r="C12" s="27"/>
      <c r="D12" s="27"/>
      <c r="E12" s="3" t="s">
        <v>248</v>
      </c>
    </row>
    <row r="13" customFormat="false" ht="15" hidden="false" customHeight="false" outlineLevel="0" collapsed="false">
      <c r="A13" s="27" t="s">
        <v>249</v>
      </c>
      <c r="B13" s="32" t="n">
        <f aca="false">Assumptions!$B$55+(D8-Assumptions!$B$55)*1/4</f>
        <v>0.2375</v>
      </c>
      <c r="E13" s="3" t="s">
        <v>250</v>
      </c>
    </row>
    <row r="14" customFormat="false" ht="15" hidden="false" customHeight="false" outlineLevel="0" collapsed="false">
      <c r="A14" s="27" t="s">
        <v>251</v>
      </c>
      <c r="B14" s="32" t="n">
        <f aca="false">Assumptions!$B$55+(D8-Assumptions!$B$55)*2/4</f>
        <v>0.25</v>
      </c>
      <c r="E14" s="3" t="s">
        <v>252</v>
      </c>
    </row>
    <row r="15" customFormat="false" ht="15" hidden="false" customHeight="false" outlineLevel="0" collapsed="false">
      <c r="A15" s="27" t="s">
        <v>253</v>
      </c>
      <c r="B15" s="32" t="n">
        <f aca="false">Assumptions!$B$55+(D8-Assumptions!$B$55)*3/4</f>
        <v>0.2625</v>
      </c>
      <c r="E15" s="3" t="s">
        <v>254</v>
      </c>
    </row>
    <row r="16" customFormat="false" ht="15" hidden="false" customHeight="false" outlineLevel="0" collapsed="false">
      <c r="A16" s="27" t="s">
        <v>255</v>
      </c>
      <c r="B16" s="31" t="n">
        <f aca="false">Assumptions!$B$55+(D8-Assumptions!$B$55)*4/4</f>
        <v>0.275</v>
      </c>
      <c r="E16" s="3" t="s">
        <v>256</v>
      </c>
    </row>
    <row r="18" customFormat="false" ht="15" hidden="false" customHeight="false" outlineLevel="0" collapsed="false">
      <c r="A18" s="4" t="s">
        <v>257</v>
      </c>
      <c r="B18" s="7"/>
      <c r="C18" s="7"/>
      <c r="D18" s="7"/>
      <c r="E18" s="7"/>
    </row>
    <row r="19" customFormat="false" ht="90" hidden="false" customHeight="true" outlineLevel="0" collapsed="false">
      <c r="A19" s="33" t="s">
        <v>258</v>
      </c>
      <c r="B19" s="33"/>
      <c r="C19" s="33"/>
      <c r="D19" s="33"/>
      <c r="E19" s="33"/>
    </row>
  </sheetData>
  <mergeCells count="2">
    <mergeCell ref="A1:E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6" min="6" style="0" width="2"/>
    <col collapsed="false" customWidth="true" hidden="false" outlineLevel="0" max="11" min="7" style="0" width="13"/>
    <col collapsed="false" customWidth="true" hidden="false" outlineLevel="0" max="12" min="12" style="0" width="40"/>
  </cols>
  <sheetData>
    <row r="1" customFormat="false" ht="16.15" hidden="false" customHeight="false" outlineLevel="0" collapsed="false">
      <c r="A1" s="26" t="s">
        <v>259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customFormat="false" ht="19.5" hidden="false" customHeight="true" outlineLevel="0" collapsed="false">
      <c r="A3" s="4" t="s">
        <v>260</v>
      </c>
      <c r="B3" s="5" t="s">
        <v>261</v>
      </c>
      <c r="C3" s="5" t="s">
        <v>262</v>
      </c>
      <c r="D3" s="5" t="s">
        <v>263</v>
      </c>
      <c r="E3" s="5" t="s">
        <v>264</v>
      </c>
      <c r="F3" s="5"/>
      <c r="G3" s="5" t="s">
        <v>265</v>
      </c>
      <c r="H3" s="5" t="s">
        <v>266</v>
      </c>
      <c r="I3" s="5" t="s">
        <v>267</v>
      </c>
      <c r="J3" s="5" t="s">
        <v>268</v>
      </c>
      <c r="K3" s="5" t="s">
        <v>269</v>
      </c>
      <c r="L3" s="5" t="s">
        <v>270</v>
      </c>
    </row>
    <row r="5" customFormat="false" ht="21.75" hidden="false" customHeight="true" outlineLevel="0" collapsed="false">
      <c r="A5" s="6" t="s">
        <v>271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39.55" hidden="false" customHeight="false" outlineLevel="0" collapsed="false">
      <c r="A6" s="27" t="s">
        <v>272</v>
      </c>
      <c r="B6" s="34" t="n">
        <v>3700</v>
      </c>
      <c r="C6" s="34" t="n">
        <v>3220</v>
      </c>
      <c r="D6" s="34" t="n">
        <v>1609.8</v>
      </c>
      <c r="E6" s="35" t="n">
        <f aca="false">Assumptions!$B$9</f>
        <v>3400</v>
      </c>
      <c r="G6" s="36" t="n">
        <f aca="false">E6*(1+Assumptions!$B$38)</f>
        <v>3600.76617925</v>
      </c>
      <c r="H6" s="36" t="n">
        <f aca="false">G6*(1+Assumptions!$B$38)</f>
        <v>3813.38737577372</v>
      </c>
      <c r="I6" s="36" t="n">
        <f aca="false">H6*(1+Assumptions!$B$38)</f>
        <v>4038.56361501909</v>
      </c>
      <c r="J6" s="36" t="n">
        <f aca="false">I6*(1+Assumptions!$B$38)</f>
        <v>4277.03625815011</v>
      </c>
      <c r="K6" s="36" t="n">
        <f aca="false">J6*(1+Assumptions!$B$38)</f>
        <v>4529.59044287438</v>
      </c>
      <c r="L6" s="3" t="s">
        <v>273</v>
      </c>
    </row>
    <row r="8" customFormat="false" ht="21.75" hidden="false" customHeight="true" outlineLevel="0" collapsed="false">
      <c r="A8" s="6" t="s">
        <v>274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customFormat="false" ht="39.55" hidden="false" customHeight="false" outlineLevel="0" collapsed="false">
      <c r="A9" s="27" t="s">
        <v>275</v>
      </c>
      <c r="D9" s="28" t="n">
        <v>0.139</v>
      </c>
      <c r="E9" s="37" t="n">
        <f aca="false">Assumptions!$B$10</f>
        <v>0.141</v>
      </c>
      <c r="G9" s="38" t="n">
        <f aca="false">Assumptions!$B$10+Assumptions!$B$41+Assumptions!$B$48</f>
        <v>0.147</v>
      </c>
      <c r="H9" s="38" t="n">
        <f aca="false">Assumptions!$B$10+Assumptions!$B$42+Assumptions!$B$49</f>
        <v>0.159</v>
      </c>
      <c r="I9" s="38" t="n">
        <f aca="false">Assumptions!$B$10+Assumptions!$B$43+Assumptions!$B$50</f>
        <v>0.156</v>
      </c>
      <c r="J9" s="38" t="n">
        <f aca="false">Assumptions!$B$10+Assumptions!$B$44+Assumptions!$B$51</f>
        <v>0.151</v>
      </c>
      <c r="K9" s="38" t="n">
        <f aca="false">Assumptions!$B$10+Assumptions!$B$45+Assumptions!$B$52</f>
        <v>0.146</v>
      </c>
      <c r="L9" s="3" t="s">
        <v>276</v>
      </c>
    </row>
    <row r="10" customFormat="false" ht="39.55" hidden="false" customHeight="false" outlineLevel="0" collapsed="false">
      <c r="A10" s="2" t="s">
        <v>277</v>
      </c>
      <c r="D10" s="39" t="n">
        <f aca="false">D6*D9</f>
        <v>223.7622</v>
      </c>
      <c r="E10" s="39" t="n">
        <f aca="false">E6*E9</f>
        <v>479.4</v>
      </c>
      <c r="G10" s="39" t="n">
        <f aca="false">G6*G9</f>
        <v>529.31262834975</v>
      </c>
      <c r="H10" s="39" t="n">
        <f aca="false">H6*H9</f>
        <v>606.328592748021</v>
      </c>
      <c r="I10" s="39" t="n">
        <f aca="false">I6*I9</f>
        <v>630.015923942979</v>
      </c>
      <c r="J10" s="39" t="n">
        <f aca="false">J6*J9</f>
        <v>645.832474980667</v>
      </c>
      <c r="K10" s="39" t="n">
        <f aca="false">K6*K9</f>
        <v>661.320204659659</v>
      </c>
      <c r="L10" s="3" t="s">
        <v>278</v>
      </c>
    </row>
    <row r="12" customFormat="false" ht="21.75" hidden="false" customHeight="true" outlineLevel="0" collapsed="false">
      <c r="A12" s="6" t="s">
        <v>279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26.85" hidden="false" customHeight="false" outlineLevel="0" collapsed="false">
      <c r="A13" s="27" t="s">
        <v>280</v>
      </c>
      <c r="G13" s="37" t="n">
        <f aca="false">'Tax Bridge'!$B$12</f>
        <v>0.225</v>
      </c>
      <c r="H13" s="37" t="n">
        <f aca="false">'Tax Bridge'!$B$13</f>
        <v>0.2375</v>
      </c>
      <c r="I13" s="37" t="n">
        <f aca="false">'Tax Bridge'!$B$14</f>
        <v>0.25</v>
      </c>
      <c r="J13" s="37" t="n">
        <f aca="false">'Tax Bridge'!$B$15</f>
        <v>0.2625</v>
      </c>
      <c r="K13" s="37" t="n">
        <f aca="false">'Tax Bridge'!$B$16</f>
        <v>0.275</v>
      </c>
      <c r="L13" s="3" t="s">
        <v>281</v>
      </c>
    </row>
    <row r="14" customFormat="false" ht="15" hidden="false" customHeight="false" outlineLevel="0" collapsed="false">
      <c r="A14" s="27" t="s">
        <v>282</v>
      </c>
      <c r="G14" s="36" t="n">
        <f aca="false">-G10*G13</f>
        <v>-119.095341378694</v>
      </c>
      <c r="H14" s="36" t="n">
        <f aca="false">-H10*H13</f>
        <v>-144.003040777655</v>
      </c>
      <c r="I14" s="36" t="n">
        <f aca="false">-I10*I13</f>
        <v>-157.503980985745</v>
      </c>
      <c r="J14" s="36" t="n">
        <f aca="false">-J10*J13</f>
        <v>-169.531024682425</v>
      </c>
      <c r="K14" s="36" t="n">
        <f aca="false">-K10*K13</f>
        <v>-181.863056281406</v>
      </c>
    </row>
    <row r="15" customFormat="false" ht="15" hidden="false" customHeight="false" outlineLevel="0" collapsed="false">
      <c r="A15" s="2" t="s">
        <v>283</v>
      </c>
      <c r="G15" s="39" t="n">
        <f aca="false">G10+G14</f>
        <v>410.217286971056</v>
      </c>
      <c r="H15" s="39" t="n">
        <f aca="false">H10+H14</f>
        <v>462.325551970366</v>
      </c>
      <c r="I15" s="39" t="n">
        <f aca="false">I10+I14</f>
        <v>472.511942957234</v>
      </c>
      <c r="J15" s="39" t="n">
        <f aca="false">J10+J14</f>
        <v>476.301450298242</v>
      </c>
      <c r="K15" s="39" t="n">
        <f aca="false">K10+K14</f>
        <v>479.457148378253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26" t="s">
        <v>284</v>
      </c>
      <c r="B1" s="26"/>
      <c r="C1" s="26"/>
    </row>
    <row r="3" customFormat="false" ht="19.5" hidden="false" customHeight="true" outlineLevel="0" collapsed="false">
      <c r="A3" s="4" t="s">
        <v>285</v>
      </c>
      <c r="B3" s="5" t="s">
        <v>70</v>
      </c>
      <c r="C3" s="5" t="s">
        <v>270</v>
      </c>
    </row>
    <row r="4" customFormat="false" ht="21.75" hidden="false" customHeight="true" outlineLevel="0" collapsed="false">
      <c r="A4" s="6" t="s">
        <v>286</v>
      </c>
      <c r="B4" s="7"/>
      <c r="C4" s="7"/>
    </row>
    <row r="5" customFormat="false" ht="15" hidden="false" customHeight="false" outlineLevel="0" collapsed="false">
      <c r="A5" s="3" t="s">
        <v>287</v>
      </c>
      <c r="B5" s="14" t="n">
        <v>647.2</v>
      </c>
      <c r="C5" s="3" t="s">
        <v>288</v>
      </c>
    </row>
    <row r="6" customFormat="false" ht="15" hidden="false" customHeight="false" outlineLevel="0" collapsed="false">
      <c r="A6" s="3" t="s">
        <v>289</v>
      </c>
      <c r="B6" s="14" t="n">
        <v>840.5</v>
      </c>
    </row>
    <row r="7" customFormat="false" ht="15" hidden="false" customHeight="false" outlineLevel="0" collapsed="false">
      <c r="A7" s="3" t="s">
        <v>290</v>
      </c>
      <c r="B7" s="14" t="n">
        <v>519.1</v>
      </c>
    </row>
    <row r="8" customFormat="false" ht="15" hidden="false" customHeight="false" outlineLevel="0" collapsed="false">
      <c r="A8" s="3" t="s">
        <v>291</v>
      </c>
      <c r="B8" s="14" t="n">
        <v>115.9</v>
      </c>
    </row>
    <row r="9" customFormat="false" ht="15" hidden="false" customHeight="false" outlineLevel="0" collapsed="false">
      <c r="A9" s="3" t="s">
        <v>292</v>
      </c>
      <c r="B9" s="14" t="n">
        <v>2120</v>
      </c>
      <c r="C9" s="3" t="s">
        <v>293</v>
      </c>
    </row>
    <row r="10" customFormat="false" ht="15" hidden="false" customHeight="false" outlineLevel="0" collapsed="false">
      <c r="A10" s="3" t="s">
        <v>294</v>
      </c>
      <c r="B10" s="14" t="n">
        <v>145.1</v>
      </c>
    </row>
    <row r="11" customFormat="false" ht="15" hidden="false" customHeight="false" outlineLevel="0" collapsed="false">
      <c r="A11" s="3" t="s">
        <v>295</v>
      </c>
      <c r="B11" s="14" t="n">
        <v>2562.9</v>
      </c>
      <c r="C11" s="3" t="s">
        <v>296</v>
      </c>
    </row>
    <row r="12" customFormat="false" ht="15" hidden="false" customHeight="false" outlineLevel="0" collapsed="false">
      <c r="A12" s="3" t="s">
        <v>297</v>
      </c>
      <c r="B12" s="14" t="n">
        <v>433.2</v>
      </c>
    </row>
    <row r="13" customFormat="false" ht="15" hidden="false" customHeight="false" outlineLevel="0" collapsed="false">
      <c r="A13" s="3" t="s">
        <v>298</v>
      </c>
      <c r="B13" s="14" t="n">
        <v>25.3</v>
      </c>
    </row>
    <row r="14" customFormat="false" ht="39.55" hidden="false" customHeight="false" outlineLevel="0" collapsed="false">
      <c r="A14" s="3" t="s">
        <v>299</v>
      </c>
      <c r="B14" s="14" t="n">
        <v>6997.7</v>
      </c>
      <c r="C14" s="3" t="s">
        <v>300</v>
      </c>
    </row>
    <row r="16" customFormat="false" ht="21.75" hidden="false" customHeight="true" outlineLevel="0" collapsed="false">
      <c r="A16" s="6" t="s">
        <v>301</v>
      </c>
      <c r="B16" s="7"/>
      <c r="C16" s="7"/>
    </row>
    <row r="17" customFormat="false" ht="15" hidden="false" customHeight="false" outlineLevel="0" collapsed="false">
      <c r="A17" s="3" t="s">
        <v>302</v>
      </c>
      <c r="B17" s="14" t="n">
        <v>733.7</v>
      </c>
    </row>
    <row r="18" customFormat="false" ht="39.55" hidden="false" customHeight="false" outlineLevel="0" collapsed="false">
      <c r="A18" s="3" t="s">
        <v>303</v>
      </c>
      <c r="B18" s="14" t="n">
        <v>249.3</v>
      </c>
      <c r="C18" s="3" t="s">
        <v>304</v>
      </c>
    </row>
    <row r="19" customFormat="false" ht="15" hidden="false" customHeight="false" outlineLevel="0" collapsed="false">
      <c r="A19" s="3" t="s">
        <v>305</v>
      </c>
      <c r="B19" s="14" t="n">
        <v>194.3</v>
      </c>
      <c r="C19" s="3" t="s">
        <v>306</v>
      </c>
    </row>
    <row r="20" customFormat="false" ht="39.55" hidden="false" customHeight="false" outlineLevel="0" collapsed="false">
      <c r="A20" s="3" t="s">
        <v>307</v>
      </c>
      <c r="B20" s="14" t="n">
        <v>1260.8</v>
      </c>
      <c r="C20" s="3" t="s">
        <v>308</v>
      </c>
    </row>
    <row r="21" customFormat="false" ht="15" hidden="false" customHeight="false" outlineLevel="0" collapsed="false">
      <c r="A21" s="3" t="s">
        <v>309</v>
      </c>
      <c r="B21" s="14" t="n">
        <v>111.5</v>
      </c>
      <c r="C21" s="3" t="s">
        <v>310</v>
      </c>
    </row>
    <row r="22" customFormat="false" ht="15" hidden="false" customHeight="false" outlineLevel="0" collapsed="false">
      <c r="A22" s="3" t="s">
        <v>311</v>
      </c>
      <c r="B22" s="14" t="n">
        <v>248.3</v>
      </c>
    </row>
    <row r="23" customFormat="false" ht="15" hidden="false" customHeight="false" outlineLevel="0" collapsed="false">
      <c r="A23" s="3" t="s">
        <v>312</v>
      </c>
      <c r="B23" s="14" t="n">
        <v>2797.9</v>
      </c>
    </row>
    <row r="24" customFormat="false" ht="15" hidden="false" customHeight="false" outlineLevel="0" collapsed="false">
      <c r="A24" s="3" t="s">
        <v>313</v>
      </c>
      <c r="B24" s="14" t="n">
        <v>4199.8</v>
      </c>
      <c r="C24" s="3" t="s">
        <v>314</v>
      </c>
    </row>
    <row r="26" customFormat="false" ht="21.75" hidden="false" customHeight="true" outlineLevel="0" collapsed="false">
      <c r="A26" s="6" t="s">
        <v>315</v>
      </c>
      <c r="B26" s="7"/>
      <c r="C26" s="7"/>
    </row>
    <row r="27" customFormat="false" ht="15" hidden="false" customHeight="false" outlineLevel="0" collapsed="false">
      <c r="A27" s="27" t="s">
        <v>316</v>
      </c>
      <c r="B27" s="40" t="n">
        <v>1.3</v>
      </c>
      <c r="C27" s="27" t="s">
        <v>317</v>
      </c>
    </row>
    <row r="28" customFormat="false" ht="15" hidden="false" customHeight="false" outlineLevel="0" collapsed="false">
      <c r="A28" s="27" t="s">
        <v>318</v>
      </c>
      <c r="B28" s="40" t="n">
        <v>12.5</v>
      </c>
    </row>
    <row r="29" customFormat="false" ht="15" hidden="false" customHeight="false" outlineLevel="0" collapsed="false">
      <c r="A29" s="27" t="s">
        <v>319</v>
      </c>
      <c r="B29" s="41" t="s">
        <v>320</v>
      </c>
    </row>
    <row r="30" customFormat="false" ht="15" hidden="false" customHeight="false" outlineLevel="0" collapsed="false">
      <c r="A30" s="27" t="s">
        <v>321</v>
      </c>
      <c r="B30" s="41" t="s">
        <v>322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5"/>
  </cols>
  <sheetData>
    <row r="1" customFormat="false" ht="16.15" hidden="false" customHeight="false" outlineLevel="0" collapsed="false">
      <c r="A1" s="26" t="s">
        <v>323</v>
      </c>
      <c r="B1" s="26"/>
      <c r="C1" s="26"/>
      <c r="D1" s="26"/>
    </row>
    <row r="3" customFormat="false" ht="19.5" hidden="false" customHeight="true" outlineLevel="0" collapsed="false">
      <c r="A3" s="7"/>
      <c r="B3" s="5" t="s">
        <v>52</v>
      </c>
      <c r="C3" s="5" t="s">
        <v>53</v>
      </c>
      <c r="D3" s="5" t="s">
        <v>324</v>
      </c>
    </row>
    <row r="4" customFormat="false" ht="21.75" hidden="false" customHeight="true" outlineLevel="0" collapsed="false">
      <c r="A4" s="6" t="s">
        <v>325</v>
      </c>
      <c r="B4" s="7"/>
      <c r="C4" s="7"/>
      <c r="D4" s="7"/>
    </row>
    <row r="5" customFormat="false" ht="26.85" hidden="false" customHeight="false" outlineLevel="0" collapsed="false">
      <c r="A5" s="3" t="s">
        <v>160</v>
      </c>
      <c r="B5" s="42" t="n">
        <f aca="false">Assumptions!$B$65</f>
        <v>0.043</v>
      </c>
      <c r="C5" s="9" t="s">
        <v>73</v>
      </c>
      <c r="D5" s="3" t="s">
        <v>326</v>
      </c>
    </row>
    <row r="6" customFormat="false" ht="15" hidden="false" customHeight="false" outlineLevel="0" collapsed="false">
      <c r="A6" s="3" t="s">
        <v>162</v>
      </c>
      <c r="B6" s="42" t="n">
        <f aca="false">Assumptions!$B$66</f>
        <v>0.05</v>
      </c>
      <c r="C6" s="9" t="s">
        <v>73</v>
      </c>
      <c r="D6" s="3" t="s">
        <v>327</v>
      </c>
    </row>
    <row r="7" customFormat="false" ht="39.55" hidden="false" customHeight="false" outlineLevel="0" collapsed="false">
      <c r="A7" s="3" t="s">
        <v>328</v>
      </c>
      <c r="B7" s="43" t="n">
        <f aca="false">Assumptions!$B$67</f>
        <v>0.95</v>
      </c>
      <c r="C7" s="9"/>
      <c r="D7" s="3" t="s">
        <v>329</v>
      </c>
    </row>
    <row r="8" customFormat="false" ht="15" hidden="false" customHeight="false" outlineLevel="0" collapsed="false">
      <c r="A8" s="44" t="s">
        <v>330</v>
      </c>
      <c r="B8" s="45" t="n">
        <f aca="false">B5+B7*B6</f>
        <v>0.0905</v>
      </c>
      <c r="C8" s="46" t="s">
        <v>73</v>
      </c>
      <c r="D8" s="3" t="s">
        <v>331</v>
      </c>
    </row>
    <row r="10" customFormat="false" ht="21.75" hidden="false" customHeight="true" outlineLevel="0" collapsed="false">
      <c r="A10" s="6" t="s">
        <v>332</v>
      </c>
      <c r="B10" s="7"/>
      <c r="C10" s="7"/>
      <c r="D10" s="7"/>
    </row>
    <row r="11" customFormat="false" ht="15" hidden="false" customHeight="false" outlineLevel="0" collapsed="false">
      <c r="A11" s="3" t="s">
        <v>333</v>
      </c>
      <c r="B11" s="47" t="n">
        <f aca="false">Assumptions!$B$68</f>
        <v>0.06</v>
      </c>
      <c r="C11" s="9" t="s">
        <v>73</v>
      </c>
      <c r="D11" s="3" t="s">
        <v>334</v>
      </c>
    </row>
    <row r="12" customFormat="false" ht="52.2" hidden="false" customHeight="false" outlineLevel="0" collapsed="false">
      <c r="A12" s="3" t="s">
        <v>335</v>
      </c>
      <c r="B12" s="48" t="n">
        <f aca="false">'Tax Bridge'!$D$8</f>
        <v>0.275</v>
      </c>
      <c r="C12" s="9" t="s">
        <v>73</v>
      </c>
      <c r="D12" s="3" t="s">
        <v>336</v>
      </c>
    </row>
    <row r="13" customFormat="false" ht="15" hidden="false" customHeight="false" outlineLevel="0" collapsed="false">
      <c r="A13" s="44" t="s">
        <v>337</v>
      </c>
      <c r="B13" s="45" t="n">
        <f aca="false">B11*(1-B12)</f>
        <v>0.0435</v>
      </c>
      <c r="C13" s="46" t="s">
        <v>73</v>
      </c>
      <c r="D13" s="3" t="s">
        <v>338</v>
      </c>
    </row>
    <row r="15" customFormat="false" ht="21.75" hidden="false" customHeight="true" outlineLevel="0" collapsed="false">
      <c r="A15" s="6" t="s">
        <v>339</v>
      </c>
      <c r="B15" s="7"/>
      <c r="C15" s="7"/>
      <c r="D15" s="7"/>
    </row>
    <row r="16" customFormat="false" ht="15" hidden="false" customHeight="false" outlineLevel="0" collapsed="false">
      <c r="A16" s="3" t="s">
        <v>168</v>
      </c>
      <c r="B16" s="49" t="n">
        <f aca="false">Assumptions!$B$69</f>
        <v>6390</v>
      </c>
      <c r="C16" s="9" t="s">
        <v>70</v>
      </c>
      <c r="D16" s="3" t="s">
        <v>340</v>
      </c>
    </row>
    <row r="17" customFormat="false" ht="15" hidden="false" customHeight="false" outlineLevel="0" collapsed="false">
      <c r="A17" s="3" t="s">
        <v>170</v>
      </c>
      <c r="B17" s="49" t="n">
        <f aca="false">Assumptions!$B$70</f>
        <v>1260.8</v>
      </c>
      <c r="C17" s="9" t="s">
        <v>70</v>
      </c>
      <c r="D17" s="3" t="s">
        <v>340</v>
      </c>
    </row>
    <row r="18" customFormat="false" ht="15" hidden="false" customHeight="false" outlineLevel="0" collapsed="false">
      <c r="A18" s="3" t="s">
        <v>341</v>
      </c>
      <c r="B18" s="50" t="n">
        <f aca="false">B16+B17</f>
        <v>7650.8</v>
      </c>
      <c r="C18" s="46" t="s">
        <v>70</v>
      </c>
      <c r="D18" s="3"/>
    </row>
    <row r="19" customFormat="false" ht="15" hidden="false" customHeight="false" outlineLevel="0" collapsed="false">
      <c r="A19" s="3" t="s">
        <v>342</v>
      </c>
      <c r="B19" s="51" t="n">
        <f aca="false">B16/B18</f>
        <v>0.835206775762012</v>
      </c>
      <c r="C19" s="46" t="s">
        <v>73</v>
      </c>
      <c r="D19" s="3"/>
    </row>
    <row r="20" customFormat="false" ht="15" hidden="false" customHeight="false" outlineLevel="0" collapsed="false">
      <c r="A20" s="3" t="s">
        <v>343</v>
      </c>
      <c r="B20" s="51" t="n">
        <f aca="false">B17/B18</f>
        <v>0.164793224237988</v>
      </c>
      <c r="C20" s="46" t="s">
        <v>73</v>
      </c>
      <c r="D20" s="3"/>
    </row>
    <row r="22" customFormat="false" ht="21.75" hidden="false" customHeight="true" outlineLevel="0" collapsed="false">
      <c r="A22" s="6" t="s">
        <v>344</v>
      </c>
      <c r="B22" s="7"/>
      <c r="C22" s="7"/>
      <c r="D22" s="7"/>
    </row>
    <row r="23" customFormat="false" ht="15" hidden="false" customHeight="false" outlineLevel="0" collapsed="false">
      <c r="A23" s="44" t="s">
        <v>345</v>
      </c>
      <c r="B23" s="45" t="n">
        <f aca="false">B19*B8+B20*B13</f>
        <v>0.0827547184608145</v>
      </c>
      <c r="C23" s="46" t="s">
        <v>73</v>
      </c>
      <c r="D23" s="3" t="s">
        <v>346</v>
      </c>
    </row>
    <row r="24" customFormat="false" ht="26.85" hidden="false" customHeight="false" outlineLevel="0" collapsed="false">
      <c r="A24" s="44" t="s">
        <v>347</v>
      </c>
      <c r="B24" s="52" t="n">
        <f aca="false">B23</f>
        <v>0.0827547184608145</v>
      </c>
      <c r="C24" s="46" t="s">
        <v>73</v>
      </c>
      <c r="D24" s="3" t="s">
        <v>348</v>
      </c>
    </row>
    <row r="26" customFormat="false" ht="21.75" hidden="false" customHeight="true" outlineLevel="0" collapsed="false">
      <c r="A26" s="6" t="s">
        <v>349</v>
      </c>
      <c r="B26" s="7"/>
      <c r="C26" s="7"/>
      <c r="D26" s="7"/>
    </row>
    <row r="27" customFormat="false" ht="26.85" hidden="false" customHeight="false" outlineLevel="0" collapsed="false">
      <c r="A27" s="27" t="s">
        <v>350</v>
      </c>
      <c r="D27" s="3" t="s">
        <v>351</v>
      </c>
    </row>
    <row r="28" customFormat="false" ht="26.85" hidden="false" customHeight="false" outlineLevel="0" collapsed="false">
      <c r="A28" s="27" t="s">
        <v>352</v>
      </c>
      <c r="D28" s="3" t="s">
        <v>353</v>
      </c>
    </row>
    <row r="29" customFormat="false" ht="26.85" hidden="false" customHeight="false" outlineLevel="0" collapsed="false">
      <c r="A29" s="27" t="s">
        <v>354</v>
      </c>
      <c r="D29" s="3" t="s">
        <v>355</v>
      </c>
    </row>
    <row r="30" customFormat="false" ht="39.55" hidden="false" customHeight="false" outlineLevel="0" collapsed="false">
      <c r="A30" s="27" t="s">
        <v>356</v>
      </c>
      <c r="D30" s="3" t="s">
        <v>357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26" t="s">
        <v>358</v>
      </c>
      <c r="B1" s="26"/>
      <c r="C1" s="26"/>
      <c r="D1" s="26"/>
      <c r="E1" s="26"/>
      <c r="F1" s="26"/>
      <c r="G1" s="26"/>
    </row>
    <row r="3" customFormat="false" ht="19.5" hidden="false" customHeight="true" outlineLevel="0" collapsed="false">
      <c r="A3" s="4" t="s">
        <v>359</v>
      </c>
      <c r="B3" s="5" t="s">
        <v>360</v>
      </c>
      <c r="C3" s="5" t="s">
        <v>361</v>
      </c>
      <c r="D3" s="5" t="s">
        <v>362</v>
      </c>
      <c r="E3" s="5" t="s">
        <v>363</v>
      </c>
      <c r="F3" s="5" t="s">
        <v>364</v>
      </c>
      <c r="G3" s="5" t="s">
        <v>365</v>
      </c>
    </row>
    <row r="4" customFormat="false" ht="15" hidden="false" customHeight="false" outlineLevel="0" collapsed="false">
      <c r="A4" s="3" t="s">
        <v>366</v>
      </c>
      <c r="B4" s="34" t="n">
        <v>125.9</v>
      </c>
      <c r="C4" s="34" t="n">
        <v>179.6</v>
      </c>
      <c r="D4" s="27" t="s">
        <v>367</v>
      </c>
      <c r="E4" s="3" t="s">
        <v>368</v>
      </c>
      <c r="F4" s="9" t="s">
        <v>369</v>
      </c>
      <c r="G4" s="53" t="s">
        <v>370</v>
      </c>
    </row>
    <row r="5" customFormat="false" ht="15" hidden="false" customHeight="false" outlineLevel="0" collapsed="false">
      <c r="A5" s="3" t="s">
        <v>371</v>
      </c>
      <c r="B5" s="34" t="n">
        <v>11.2</v>
      </c>
      <c r="C5" s="34" t="n">
        <v>11.2</v>
      </c>
      <c r="D5" s="27" t="s">
        <v>372</v>
      </c>
      <c r="E5" s="3" t="s">
        <v>373</v>
      </c>
      <c r="F5" s="9" t="s">
        <v>369</v>
      </c>
      <c r="G5" s="53" t="s">
        <v>370</v>
      </c>
    </row>
    <row r="6" customFormat="false" ht="26.85" hidden="false" customHeight="false" outlineLevel="0" collapsed="false">
      <c r="A6" s="3" t="s">
        <v>374</v>
      </c>
      <c r="B6" s="34" t="n">
        <v>3.9</v>
      </c>
      <c r="C6" s="34" t="n">
        <v>5.6</v>
      </c>
      <c r="D6" s="27" t="s">
        <v>367</v>
      </c>
      <c r="E6" s="3" t="s">
        <v>375</v>
      </c>
      <c r="F6" s="54" t="s">
        <v>376</v>
      </c>
      <c r="G6" s="53" t="s">
        <v>370</v>
      </c>
    </row>
    <row r="7" customFormat="false" ht="15" hidden="false" customHeight="false" outlineLevel="0" collapsed="false">
      <c r="A7" s="44" t="s">
        <v>377</v>
      </c>
      <c r="B7" s="39" t="n">
        <f aca="false">SUM(B4:B6)</f>
        <v>141</v>
      </c>
      <c r="C7" s="39" t="n">
        <f aca="false">SUM(C4:C6)</f>
        <v>196.4</v>
      </c>
      <c r="D7" s="27"/>
      <c r="E7" s="3"/>
      <c r="F7" s="9"/>
      <c r="G7" s="5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  <col collapsed="false" customWidth="true" hidden="false" outlineLevel="0" max="9" min="9" style="0" width="38"/>
  </cols>
  <sheetData>
    <row r="1" customFormat="false" ht="16.15" hidden="false" customHeight="false" outlineLevel="0" collapsed="false">
      <c r="A1" s="26" t="s">
        <v>378</v>
      </c>
      <c r="B1" s="26"/>
      <c r="C1" s="26"/>
      <c r="D1" s="26"/>
      <c r="E1" s="26"/>
      <c r="F1" s="26"/>
      <c r="G1" s="26"/>
      <c r="H1" s="26"/>
      <c r="I1" s="26"/>
    </row>
    <row r="3" customFormat="false" ht="19.5" hidden="false" customHeight="true" outlineLevel="0" collapsed="false">
      <c r="A3" s="4" t="s">
        <v>285</v>
      </c>
      <c r="B3" s="5" t="s">
        <v>379</v>
      </c>
      <c r="C3" s="5" t="s">
        <v>265</v>
      </c>
      <c r="D3" s="5" t="s">
        <v>266</v>
      </c>
      <c r="E3" s="5" t="s">
        <v>267</v>
      </c>
      <c r="F3" s="5" t="s">
        <v>268</v>
      </c>
      <c r="G3" s="5" t="s">
        <v>269</v>
      </c>
      <c r="H3" s="5" t="s">
        <v>380</v>
      </c>
      <c r="I3" s="5" t="s">
        <v>270</v>
      </c>
    </row>
    <row r="5" customFormat="false" ht="21.75" hidden="false" customHeight="true" outlineLevel="0" collapsed="false">
      <c r="A5" s="6" t="s">
        <v>381</v>
      </c>
      <c r="B5" s="7"/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27" t="s">
        <v>382</v>
      </c>
      <c r="B6" s="35" t="n">
        <f aca="false">Assumptions!$B$6*Assumptions!$B$9</f>
        <v>1193.4</v>
      </c>
      <c r="C6" s="35" t="n">
        <f aca="false">'P&amp;L Summary'!G6</f>
        <v>3600.76617925</v>
      </c>
      <c r="D6" s="35" t="n">
        <f aca="false">'P&amp;L Summary'!H6</f>
        <v>3813.38737577372</v>
      </c>
      <c r="E6" s="35" t="n">
        <f aca="false">'P&amp;L Summary'!I6</f>
        <v>4038.56361501909</v>
      </c>
      <c r="F6" s="35" t="n">
        <f aca="false">'P&amp;L Summary'!J6</f>
        <v>4277.03625815011</v>
      </c>
      <c r="G6" s="35" t="n">
        <f aca="false">'P&amp;L Summary'!K6</f>
        <v>4529.59044287438</v>
      </c>
    </row>
    <row r="7" customFormat="false" ht="15" hidden="false" customHeight="false" outlineLevel="0" collapsed="false">
      <c r="A7" s="27" t="s">
        <v>383</v>
      </c>
      <c r="B7" s="37" t="n">
        <f aca="false">Assumptions!$B$10</f>
        <v>0.141</v>
      </c>
      <c r="C7" s="37" t="n">
        <f aca="false">'P&amp;L Summary'!G9</f>
        <v>0.147</v>
      </c>
      <c r="D7" s="37" t="n">
        <f aca="false">'P&amp;L Summary'!H9</f>
        <v>0.159</v>
      </c>
      <c r="E7" s="37" t="n">
        <f aca="false">'P&amp;L Summary'!I9</f>
        <v>0.156</v>
      </c>
      <c r="F7" s="37" t="n">
        <f aca="false">'P&amp;L Summary'!J9</f>
        <v>0.151</v>
      </c>
      <c r="G7" s="37" t="n">
        <f aca="false">'P&amp;L Summary'!K9</f>
        <v>0.146</v>
      </c>
    </row>
    <row r="8" customFormat="false" ht="15" hidden="false" customHeight="false" outlineLevel="0" collapsed="false">
      <c r="A8" s="2" t="s">
        <v>277</v>
      </c>
      <c r="B8" s="39" t="n">
        <f aca="false">B6*B7</f>
        <v>168.2694</v>
      </c>
      <c r="C8" s="39" t="n">
        <f aca="false">C6*C7</f>
        <v>529.31262834975</v>
      </c>
      <c r="D8" s="39" t="n">
        <f aca="false">D6*D7</f>
        <v>606.328592748021</v>
      </c>
      <c r="E8" s="39" t="n">
        <f aca="false">E6*E7</f>
        <v>630.015923942979</v>
      </c>
      <c r="F8" s="39" t="n">
        <f aca="false">F6*F7</f>
        <v>645.832474980667</v>
      </c>
      <c r="G8" s="39" t="n">
        <f aca="false">G6*G7</f>
        <v>661.320204659659</v>
      </c>
    </row>
    <row r="9" customFormat="false" ht="15" hidden="false" customHeight="false" outlineLevel="0" collapsed="false">
      <c r="A9" s="27" t="s">
        <v>280</v>
      </c>
      <c r="B9" s="37" t="n">
        <f aca="false">Assumptions!$B$55</f>
        <v>0.225</v>
      </c>
      <c r="C9" s="56" t="n">
        <f aca="false">'Tax Bridge'!$B$12</f>
        <v>0.225</v>
      </c>
      <c r="D9" s="56" t="n">
        <f aca="false">'Tax Bridge'!$B$13</f>
        <v>0.2375</v>
      </c>
      <c r="E9" s="56" t="n">
        <f aca="false">'Tax Bridge'!$B$14</f>
        <v>0.25</v>
      </c>
      <c r="F9" s="56" t="n">
        <f aca="false">'Tax Bridge'!$B$15</f>
        <v>0.2625</v>
      </c>
      <c r="G9" s="56" t="n">
        <f aca="false">'Tax Bridge'!$B$16</f>
        <v>0.275</v>
      </c>
    </row>
    <row r="11" customFormat="false" ht="21.75" hidden="false" customHeight="true" outlineLevel="0" collapsed="false">
      <c r="A11" s="6" t="s">
        <v>384</v>
      </c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27" t="s">
        <v>385</v>
      </c>
      <c r="B12" s="36" t="n">
        <f aca="false">-B8*B9</f>
        <v>-37.860615</v>
      </c>
      <c r="C12" s="36" t="n">
        <f aca="false">-C8*C9</f>
        <v>-119.095341378694</v>
      </c>
      <c r="D12" s="36" t="n">
        <f aca="false">-D8*D9</f>
        <v>-144.003040777655</v>
      </c>
      <c r="E12" s="36" t="n">
        <f aca="false">-E8*E9</f>
        <v>-157.503980985745</v>
      </c>
      <c r="F12" s="36" t="n">
        <f aca="false">-F8*F9</f>
        <v>-169.531024682425</v>
      </c>
      <c r="G12" s="36" t="n">
        <f aca="false">-G8*G9</f>
        <v>-181.863056281406</v>
      </c>
    </row>
    <row r="13" customFormat="false" ht="15" hidden="false" customHeight="false" outlineLevel="0" collapsed="false">
      <c r="A13" s="2" t="s">
        <v>386</v>
      </c>
      <c r="B13" s="39" t="n">
        <f aca="false">B8+B12</f>
        <v>130.408785</v>
      </c>
      <c r="C13" s="39" t="n">
        <f aca="false">C8+C12</f>
        <v>410.217286971056</v>
      </c>
      <c r="D13" s="39" t="n">
        <f aca="false">D8+D12</f>
        <v>462.325551970366</v>
      </c>
      <c r="E13" s="39" t="n">
        <f aca="false">E8+E12</f>
        <v>472.511942957234</v>
      </c>
      <c r="F13" s="39" t="n">
        <f aca="false">F8+F12</f>
        <v>476.301450298242</v>
      </c>
      <c r="G13" s="39" t="n">
        <f aca="false">G8+G12</f>
        <v>479.457148378253</v>
      </c>
    </row>
    <row r="14" customFormat="false" ht="15" hidden="false" customHeight="false" outlineLevel="0" collapsed="false">
      <c r="A14" s="27" t="s">
        <v>387</v>
      </c>
      <c r="B14" s="36" t="n">
        <f aca="false">B6*Assumptions!$B$13</f>
        <v>87.1182</v>
      </c>
      <c r="C14" s="36" t="n">
        <f aca="false">C6*Assumptions!$B$13</f>
        <v>262.85593108525</v>
      </c>
      <c r="D14" s="36" t="n">
        <f aca="false">D6*Assumptions!$B$13</f>
        <v>278.377278431482</v>
      </c>
      <c r="E14" s="36" t="n">
        <f aca="false">E6*Assumptions!$B$13</f>
        <v>294.815143896394</v>
      </c>
      <c r="F14" s="36" t="n">
        <f aca="false">F6*Assumptions!$B$13</f>
        <v>312.223646844958</v>
      </c>
      <c r="G14" s="36" t="n">
        <f aca="false">G6*Assumptions!$B$13</f>
        <v>330.66010232983</v>
      </c>
    </row>
    <row r="15" customFormat="false" ht="15" hidden="false" customHeight="false" outlineLevel="0" collapsed="false">
      <c r="A15" s="27" t="s">
        <v>388</v>
      </c>
      <c r="B15" s="36" t="n">
        <f aca="false">-B6*Assumptions!$B$12</f>
        <v>-95.472</v>
      </c>
      <c r="C15" s="36" t="n">
        <f aca="false">-C6*Assumptions!$B$12</f>
        <v>-288.06129434</v>
      </c>
      <c r="D15" s="36" t="n">
        <f aca="false">-D6*Assumptions!$B$12</f>
        <v>-305.070990061898</v>
      </c>
      <c r="E15" s="36" t="n">
        <f aca="false">-E6*Assumptions!$B$11</f>
        <v>-282.699453051337</v>
      </c>
      <c r="F15" s="36" t="n">
        <f aca="false">-F6*Assumptions!$B$11</f>
        <v>-299.392538070508</v>
      </c>
      <c r="G15" s="36" t="n">
        <f aca="false">-G6*Assumptions!$B$11</f>
        <v>-317.071331001207</v>
      </c>
    </row>
    <row r="16" customFormat="false" ht="15" hidden="false" customHeight="false" outlineLevel="0" collapsed="false">
      <c r="A16" s="27" t="s">
        <v>389</v>
      </c>
      <c r="B16" s="36" t="n">
        <f aca="false">-Assumptions!$B$14</f>
        <v>-0</v>
      </c>
      <c r="C16" s="36" t="n">
        <f aca="false">-Assumptions!$B$14</f>
        <v>-0</v>
      </c>
      <c r="D16" s="36" t="n">
        <f aca="false">-Assumptions!$B$14</f>
        <v>-0</v>
      </c>
      <c r="E16" s="36" t="n">
        <f aca="false">-Assumptions!$B$14</f>
        <v>-0</v>
      </c>
      <c r="F16" s="36" t="n">
        <f aca="false">-Assumptions!$B$14</f>
        <v>-0</v>
      </c>
      <c r="G16" s="36" t="n">
        <f aca="false">-Assumptions!$B$14</f>
        <v>-0</v>
      </c>
    </row>
    <row r="17" customFormat="false" ht="15" hidden="false" customHeight="false" outlineLevel="0" collapsed="false">
      <c r="A17" s="2" t="s">
        <v>390</v>
      </c>
      <c r="B17" s="39" t="n">
        <f aca="false">SUM(B13:B16)</f>
        <v>122.054985</v>
      </c>
      <c r="C17" s="39" t="n">
        <f aca="false">SUM(C13:C16)</f>
        <v>385.011923716306</v>
      </c>
      <c r="D17" s="39" t="n">
        <f aca="false">SUM(D13:D16)</f>
        <v>435.63184033995</v>
      </c>
      <c r="E17" s="39" t="n">
        <f aca="false">SUM(E13:E16)</f>
        <v>484.627633802291</v>
      </c>
      <c r="F17" s="39" t="n">
        <f aca="false">SUM(F13:F16)</f>
        <v>489.132559072692</v>
      </c>
      <c r="G17" s="39" t="n">
        <f aca="false">SUM(G13:G16)</f>
        <v>493.045919706876</v>
      </c>
    </row>
    <row r="19" customFormat="false" ht="21.75" hidden="false" customHeight="true" outlineLevel="0" collapsed="false">
      <c r="A19" s="6" t="s">
        <v>391</v>
      </c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27" t="s">
        <v>392</v>
      </c>
      <c r="B20" s="56" t="n">
        <f aca="false">'WACC Build'!$B$24</f>
        <v>0.0827547184608145</v>
      </c>
      <c r="C20" s="56" t="n">
        <f aca="false">'WACC Build'!$B$24</f>
        <v>0.0827547184608145</v>
      </c>
      <c r="D20" s="56" t="n">
        <f aca="false">'WACC Build'!$B$24</f>
        <v>0.0827547184608145</v>
      </c>
      <c r="E20" s="56" t="n">
        <f aca="false">'WACC Build'!$B$24</f>
        <v>0.0827547184608145</v>
      </c>
      <c r="F20" s="56" t="n">
        <f aca="false">'WACC Build'!$B$24</f>
        <v>0.0827547184608145</v>
      </c>
      <c r="G20" s="56" t="n">
        <f aca="false">'WACC Build'!$B$24</f>
        <v>0.0827547184608145</v>
      </c>
    </row>
    <row r="21" customFormat="false" ht="15" hidden="false" customHeight="false" outlineLevel="0" collapsed="false">
      <c r="A21" s="27" t="s">
        <v>393</v>
      </c>
      <c r="B21" s="57" t="n">
        <f aca="false">Assumptions!$B$6/2</f>
        <v>0.1755</v>
      </c>
      <c r="C21" s="57" t="n">
        <f aca="false">Assumptions!$B$6+1-0.5</f>
        <v>0.851</v>
      </c>
      <c r="D21" s="57" t="n">
        <f aca="false">Assumptions!$B$6+2-0.5</f>
        <v>1.851</v>
      </c>
      <c r="E21" s="57" t="n">
        <f aca="false">Assumptions!$B$6+3-0.5</f>
        <v>2.851</v>
      </c>
      <c r="F21" s="57" t="n">
        <f aca="false">Assumptions!$B$6+4-0.5</f>
        <v>3.851</v>
      </c>
      <c r="G21" s="57" t="n">
        <f aca="false">Assumptions!$B$6+5-0.5</f>
        <v>4.851</v>
      </c>
    </row>
    <row r="22" customFormat="false" ht="15" hidden="false" customHeight="false" outlineLevel="0" collapsed="false">
      <c r="A22" s="27" t="s">
        <v>394</v>
      </c>
      <c r="B22" s="58" t="n">
        <f aca="false">1/(1+B20)^B21</f>
        <v>0.986143167568756</v>
      </c>
      <c r="C22" s="58" t="n">
        <f aca="false">1/(1+C20)^C21</f>
        <v>0.934576588701286</v>
      </c>
      <c r="D22" s="58" t="n">
        <f aca="false">1/(1+D20)^D21</f>
        <v>0.863147093951093</v>
      </c>
      <c r="E22" s="58" t="n">
        <f aca="false">1/(1+E20)^E21</f>
        <v>0.797176940663067</v>
      </c>
      <c r="F22" s="58" t="n">
        <f aca="false">1/(1+F20)^F21</f>
        <v>0.736248872502066</v>
      </c>
      <c r="G22" s="58" t="n">
        <f aca="false">1/(1+G20)^G21</f>
        <v>0.679977523948063</v>
      </c>
    </row>
    <row r="23" customFormat="false" ht="15" hidden="false" customHeight="false" outlineLevel="0" collapsed="false">
      <c r="A23" s="2" t="s">
        <v>395</v>
      </c>
      <c r="B23" s="39" t="n">
        <f aca="false">B17*B22</f>
        <v>120.363689525457</v>
      </c>
      <c r="C23" s="39" t="n">
        <f aca="false">C17*C22</f>
        <v>359.823130276105</v>
      </c>
      <c r="D23" s="39" t="n">
        <f aca="false">D17*D22</f>
        <v>376.014357021994</v>
      </c>
      <c r="E23" s="39" t="n">
        <f aca="false">E17*E22</f>
        <v>386.333974475292</v>
      </c>
      <c r="F23" s="39" t="n">
        <f aca="false">F17*F22</f>
        <v>360.12329512132</v>
      </c>
      <c r="G23" s="39" t="n">
        <f aca="false">G17*G22</f>
        <v>335.260143674977</v>
      </c>
    </row>
    <row r="25" customFormat="false" ht="21.75" hidden="false" customHeight="true" outlineLevel="0" collapsed="false">
      <c r="A25" s="6" t="s">
        <v>396</v>
      </c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27" t="s">
        <v>397</v>
      </c>
      <c r="H26" s="56" t="n">
        <f aca="false">Assumptions!$B$73</f>
        <v>0.025</v>
      </c>
    </row>
    <row r="27" customFormat="false" ht="15" hidden="false" customHeight="false" outlineLevel="0" collapsed="false">
      <c r="A27" s="27" t="s">
        <v>398</v>
      </c>
      <c r="H27" s="36" t="n">
        <f aca="false">G17*(1+H26)</f>
        <v>505.372067699548</v>
      </c>
    </row>
    <row r="28" customFormat="false" ht="15" hidden="false" customHeight="false" outlineLevel="0" collapsed="false">
      <c r="A28" s="2" t="s">
        <v>399</v>
      </c>
      <c r="H28" s="39" t="n">
        <f aca="false">H27/(G20-H26)</f>
        <v>8750.31653114945</v>
      </c>
    </row>
    <row r="29" customFormat="false" ht="15" hidden="false" customHeight="false" outlineLevel="0" collapsed="false">
      <c r="A29" s="27" t="s">
        <v>400</v>
      </c>
      <c r="H29" s="57" t="n">
        <f aca="false">Assumptions!$B$6+Assumptions!$B$74</f>
        <v>5.351</v>
      </c>
    </row>
    <row r="30" customFormat="false" ht="15" hidden="false" customHeight="false" outlineLevel="0" collapsed="false">
      <c r="A30" s="27" t="s">
        <v>401</v>
      </c>
      <c r="H30" s="58" t="n">
        <f aca="false">1/(1+G20)^H29</f>
        <v>0.653475809227941</v>
      </c>
    </row>
    <row r="31" customFormat="false" ht="15" hidden="false" customHeight="false" outlineLevel="0" collapsed="false">
      <c r="A31" s="2" t="s">
        <v>402</v>
      </c>
      <c r="H31" s="39" t="n">
        <f aca="false">H28*H30</f>
        <v>5718.12017619352</v>
      </c>
    </row>
    <row r="33" customFormat="false" ht="21.75" hidden="false" customHeight="true" outlineLevel="0" collapsed="false">
      <c r="A33" s="6" t="s">
        <v>403</v>
      </c>
      <c r="B33" s="7"/>
      <c r="C33" s="7"/>
      <c r="D33" s="7"/>
      <c r="E33" s="7"/>
      <c r="F33" s="7"/>
      <c r="G33" s="7"/>
      <c r="H33" s="7"/>
      <c r="I33" s="7"/>
    </row>
    <row r="34" customFormat="false" ht="15" hidden="false" customHeight="false" outlineLevel="0" collapsed="false">
      <c r="A34" s="27" t="s">
        <v>404</v>
      </c>
      <c r="H34" s="36" t="n">
        <f aca="false">SUM(B23:G23)</f>
        <v>1937.91859009514</v>
      </c>
    </row>
    <row r="35" customFormat="false" ht="15" hidden="false" customHeight="false" outlineLevel="0" collapsed="false">
      <c r="A35" s="27" t="s">
        <v>405</v>
      </c>
      <c r="H35" s="36" t="n">
        <f aca="false">H31</f>
        <v>5718.12017619352</v>
      </c>
    </row>
    <row r="36" customFormat="false" ht="17.35" hidden="false" customHeight="false" outlineLevel="0" collapsed="false">
      <c r="A36" s="59" t="s">
        <v>406</v>
      </c>
      <c r="H36" s="60" t="n">
        <f aca="false">H34+H35</f>
        <v>7656.03876628866</v>
      </c>
    </row>
    <row r="37" customFormat="false" ht="15" hidden="false" customHeight="false" outlineLevel="0" collapsed="false">
      <c r="A37" s="27" t="s">
        <v>407</v>
      </c>
      <c r="H37" s="38" t="n">
        <f aca="false">H35/H36</f>
        <v>0.746877118931496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26" t="s">
        <v>408</v>
      </c>
      <c r="B1" s="26"/>
      <c r="C1" s="26"/>
      <c r="D1" s="26"/>
    </row>
    <row r="3" customFormat="false" ht="19.5" hidden="false" customHeight="true" outlineLevel="0" collapsed="false">
      <c r="A3" s="4" t="s">
        <v>285</v>
      </c>
      <c r="B3" s="5" t="s">
        <v>409</v>
      </c>
      <c r="C3" s="5" t="s">
        <v>410</v>
      </c>
      <c r="D3" s="5" t="s">
        <v>270</v>
      </c>
    </row>
    <row r="5" customFormat="false" ht="21.75" hidden="false" customHeight="true" outlineLevel="0" collapsed="false">
      <c r="A5" s="6" t="s">
        <v>411</v>
      </c>
      <c r="B5" s="7"/>
      <c r="C5" s="7"/>
      <c r="D5" s="7"/>
    </row>
    <row r="6" customFormat="false" ht="15" hidden="false" customHeight="false" outlineLevel="0" collapsed="false">
      <c r="A6" s="27" t="s">
        <v>412</v>
      </c>
      <c r="B6" s="35" t="n">
        <f aca="false">Assumptions!$B$70</f>
        <v>1260.8</v>
      </c>
      <c r="D6" s="27" t="s">
        <v>413</v>
      </c>
    </row>
    <row r="7" customFormat="false" ht="26.85" hidden="false" customHeight="false" outlineLevel="0" collapsed="false">
      <c r="A7" s="27" t="s">
        <v>414</v>
      </c>
      <c r="B7" s="36" t="n">
        <f aca="false">-Assumptions!$B$82*Assumptions!$B$81</f>
        <v>-75.3424657534247</v>
      </c>
      <c r="D7" s="3" t="s">
        <v>415</v>
      </c>
    </row>
    <row r="8" customFormat="false" ht="15" hidden="false" customHeight="false" outlineLevel="0" collapsed="false">
      <c r="A8" s="27" t="s">
        <v>416</v>
      </c>
      <c r="B8" s="36" t="n">
        <f aca="false">Assumptions!$B$83*Assumptions!$B$81</f>
        <v>38.5753424657534</v>
      </c>
    </row>
    <row r="9" customFormat="false" ht="15" hidden="false" customHeight="false" outlineLevel="0" collapsed="false">
      <c r="A9" s="61" t="s">
        <v>417</v>
      </c>
    </row>
    <row r="10" customFormat="false" ht="15" hidden="false" customHeight="false" outlineLevel="0" collapsed="false">
      <c r="A10" s="2" t="s">
        <v>418</v>
      </c>
      <c r="B10" s="39" t="n">
        <f aca="false">SUM(B7:B8)</f>
        <v>-36.7671232876712</v>
      </c>
    </row>
    <row r="11" customFormat="false" ht="15" hidden="false" customHeight="false" outlineLevel="0" collapsed="false">
      <c r="A11" s="2" t="s">
        <v>419</v>
      </c>
      <c r="C11" s="39" t="n">
        <f aca="false">B6+B10</f>
        <v>1224.03287671233</v>
      </c>
    </row>
    <row r="13" customFormat="false" ht="21.75" hidden="false" customHeight="true" outlineLevel="0" collapsed="false">
      <c r="A13" s="6" t="s">
        <v>420</v>
      </c>
      <c r="B13" s="7"/>
      <c r="C13" s="7"/>
      <c r="D13" s="7"/>
    </row>
    <row r="14" customFormat="false" ht="15" hidden="false" customHeight="false" outlineLevel="0" collapsed="false">
      <c r="A14" s="27" t="s">
        <v>421</v>
      </c>
      <c r="B14" s="35" t="n">
        <f aca="false">Assumptions!$B$86</f>
        <v>81.4</v>
      </c>
      <c r="D14" s="27" t="s">
        <v>422</v>
      </c>
    </row>
    <row r="15" customFormat="false" ht="26.85" hidden="false" customHeight="false" outlineLevel="0" collapsed="false">
      <c r="A15" s="27" t="s">
        <v>423</v>
      </c>
      <c r="B15" s="35" t="n">
        <f aca="false">Assumptions!$B$89</f>
        <v>44</v>
      </c>
      <c r="D15" s="3" t="s">
        <v>424</v>
      </c>
    </row>
    <row r="16" customFormat="false" ht="15" hidden="false" customHeight="false" outlineLevel="0" collapsed="false">
      <c r="A16" s="27" t="s">
        <v>425</v>
      </c>
      <c r="B16" s="35" t="n">
        <f aca="false">Assumptions!$B$90</f>
        <v>80</v>
      </c>
      <c r="D16" s="27" t="s">
        <v>426</v>
      </c>
    </row>
    <row r="17" customFormat="false" ht="15" hidden="false" customHeight="false" outlineLevel="0" collapsed="false">
      <c r="A17" s="27" t="s">
        <v>427</v>
      </c>
      <c r="B17" s="35" t="n">
        <f aca="false">Assumptions!$B$91</f>
        <v>12</v>
      </c>
      <c r="D17" s="27" t="s">
        <v>428</v>
      </c>
    </row>
    <row r="18" customFormat="false" ht="15" hidden="false" customHeight="false" outlineLevel="0" collapsed="false">
      <c r="A18" s="27" t="s">
        <v>429</v>
      </c>
      <c r="B18" s="35" t="n">
        <f aca="false">Assumptions!$B$92</f>
        <v>35</v>
      </c>
      <c r="D18" s="27" t="s">
        <v>430</v>
      </c>
    </row>
    <row r="19" customFormat="false" ht="15" hidden="false" customHeight="false" outlineLevel="0" collapsed="false">
      <c r="A19" s="27" t="s">
        <v>431</v>
      </c>
      <c r="B19" s="35" t="n">
        <f aca="false">Assumptions!$B$93</f>
        <v>97</v>
      </c>
      <c r="D19" s="27" t="s">
        <v>432</v>
      </c>
    </row>
    <row r="20" customFormat="false" ht="15" hidden="false" customHeight="false" outlineLevel="0" collapsed="false">
      <c r="A20" s="27" t="s">
        <v>433</v>
      </c>
      <c r="B20" s="35" t="n">
        <f aca="false">Assumptions!$B$94</f>
        <v>11</v>
      </c>
      <c r="D20" s="27" t="s">
        <v>434</v>
      </c>
    </row>
    <row r="21" customFormat="false" ht="15" hidden="false" customHeight="false" outlineLevel="0" collapsed="false">
      <c r="A21" s="27" t="s">
        <v>435</v>
      </c>
      <c r="B21" s="35" t="n">
        <f aca="false">-Assumptions!$B$97</f>
        <v>-72.5</v>
      </c>
      <c r="D21" s="27" t="s">
        <v>436</v>
      </c>
    </row>
    <row r="22" customFormat="false" ht="15" hidden="false" customHeight="false" outlineLevel="0" collapsed="false">
      <c r="A22" s="27" t="s">
        <v>437</v>
      </c>
      <c r="B22" s="35" t="n">
        <f aca="false">-Assumptions!$B$100</f>
        <v>-106.25</v>
      </c>
      <c r="D22" s="27" t="s">
        <v>438</v>
      </c>
    </row>
    <row r="23" customFormat="false" ht="15" hidden="false" customHeight="false" outlineLevel="0" collapsed="false">
      <c r="A23" s="27" t="s">
        <v>439</v>
      </c>
      <c r="B23" s="35" t="n">
        <f aca="false">-Assumptions!$B$103</f>
        <v>-30</v>
      </c>
      <c r="D23" s="27" t="s">
        <v>440</v>
      </c>
    </row>
    <row r="24" customFormat="false" ht="15" hidden="false" customHeight="false" outlineLevel="0" collapsed="false">
      <c r="A24" s="2" t="s">
        <v>441</v>
      </c>
      <c r="B24" s="39" t="n">
        <f aca="false">SUM(B14:B23)</f>
        <v>151.65</v>
      </c>
    </row>
    <row r="26" customFormat="false" ht="21.75" hidden="false" customHeight="true" outlineLevel="0" collapsed="false">
      <c r="A26" s="6" t="s">
        <v>442</v>
      </c>
      <c r="B26" s="7"/>
      <c r="C26" s="7"/>
      <c r="D26" s="7"/>
    </row>
    <row r="27" customFormat="false" ht="15" hidden="false" customHeight="false" outlineLevel="0" collapsed="false">
      <c r="A27" s="27" t="s">
        <v>443</v>
      </c>
      <c r="C27" s="35" t="n">
        <f aca="false">'DCF Worksheet'!H36</f>
        <v>7656.03876628866</v>
      </c>
    </row>
    <row r="28" customFormat="false" ht="15" hidden="false" customHeight="false" outlineLevel="0" collapsed="false">
      <c r="A28" s="27" t="s">
        <v>444</v>
      </c>
      <c r="C28" s="36" t="n">
        <f aca="false">-C11</f>
        <v>-1224.03287671233</v>
      </c>
    </row>
    <row r="29" customFormat="false" ht="15" hidden="false" customHeight="false" outlineLevel="0" collapsed="false">
      <c r="A29" s="27" t="s">
        <v>445</v>
      </c>
      <c r="C29" s="36" t="n">
        <f aca="false">-B24</f>
        <v>-151.65</v>
      </c>
    </row>
    <row r="30" customFormat="false" ht="17.35" hidden="false" customHeight="false" outlineLevel="0" collapsed="false">
      <c r="A30" s="59" t="s">
        <v>446</v>
      </c>
      <c r="C30" s="62" t="n">
        <f aca="false">C27+C28+C29</f>
        <v>6280.35588957633</v>
      </c>
    </row>
    <row r="31" customFormat="false" ht="15" hidden="false" customHeight="false" outlineLevel="0" collapsed="false">
      <c r="A31" s="27" t="s">
        <v>447</v>
      </c>
      <c r="C31" s="35" t="n">
        <f aca="false">Assumptions!$B$77</f>
        <v>1770</v>
      </c>
    </row>
    <row r="32" customFormat="false" ht="19.7" hidden="false" customHeight="false" outlineLevel="0" collapsed="false">
      <c r="A32" s="63" t="s">
        <v>442</v>
      </c>
      <c r="C32" s="64" t="n">
        <f aca="false">C30/C31</f>
        <v>3.54822366642731</v>
      </c>
    </row>
    <row r="34" customFormat="false" ht="21.75" hidden="false" customHeight="true" outlineLevel="0" collapsed="false">
      <c r="A34" s="6" t="s">
        <v>448</v>
      </c>
      <c r="B34" s="7"/>
      <c r="C34" s="7"/>
      <c r="D34" s="7"/>
    </row>
    <row r="35" customFormat="false" ht="15" hidden="false" customHeight="false" outlineLevel="0" collapsed="false">
      <c r="A35" s="27" t="s">
        <v>449</v>
      </c>
      <c r="C35" s="65" t="n">
        <f aca="false">Assumptions!$B$106</f>
        <v>3.61</v>
      </c>
    </row>
    <row r="36" customFormat="false" ht="15" hidden="false" customHeight="false" outlineLevel="0" collapsed="false">
      <c r="A36" s="27" t="s">
        <v>450</v>
      </c>
      <c r="C36" s="38" t="n">
        <f aca="false">C32/C35-1</f>
        <v>-0.017112557776369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6.15" hidden="false" customHeight="false" outlineLevel="0" collapsed="false">
      <c r="A1" s="26" t="s">
        <v>451</v>
      </c>
      <c r="B1" s="26"/>
    </row>
    <row r="3" customFormat="false" ht="15" hidden="false" customHeight="false" outlineLevel="0" collapsed="false">
      <c r="A3" s="4" t="s">
        <v>452</v>
      </c>
      <c r="B3" s="4" t="s">
        <v>453</v>
      </c>
    </row>
    <row r="4" customFormat="false" ht="39.75" hidden="false" customHeight="true" outlineLevel="0" collapsed="false">
      <c r="A4" s="44" t="s">
        <v>454</v>
      </c>
      <c r="B4" s="3" t="s">
        <v>455</v>
      </c>
    </row>
    <row r="5" customFormat="false" ht="39.75" hidden="false" customHeight="true" outlineLevel="0" collapsed="false">
      <c r="A5" s="44" t="s">
        <v>456</v>
      </c>
      <c r="B5" s="3" t="s">
        <v>457</v>
      </c>
    </row>
    <row r="6" customFormat="false" ht="39.75" hidden="false" customHeight="true" outlineLevel="0" collapsed="false">
      <c r="A6" s="44" t="s">
        <v>458</v>
      </c>
      <c r="B6" s="3" t="s">
        <v>459</v>
      </c>
    </row>
    <row r="7" customFormat="false" ht="39.75" hidden="false" customHeight="true" outlineLevel="0" collapsed="false">
      <c r="A7" s="44" t="s">
        <v>460</v>
      </c>
      <c r="B7" s="3" t="s">
        <v>461</v>
      </c>
    </row>
    <row r="8" customFormat="false" ht="39.75" hidden="false" customHeight="true" outlineLevel="0" collapsed="false">
      <c r="A8" s="44" t="s">
        <v>462</v>
      </c>
      <c r="B8" s="3" t="s">
        <v>463</v>
      </c>
    </row>
    <row r="9" customFormat="false" ht="39.75" hidden="false" customHeight="true" outlineLevel="0" collapsed="false">
      <c r="A9" s="44" t="s">
        <v>464</v>
      </c>
      <c r="B9" s="3" t="s">
        <v>465</v>
      </c>
    </row>
    <row r="10" customFormat="false" ht="39.75" hidden="false" customHeight="true" outlineLevel="0" collapsed="false">
      <c r="A10" s="44" t="s">
        <v>466</v>
      </c>
      <c r="B10" s="3" t="s">
        <v>467</v>
      </c>
    </row>
    <row r="11" customFormat="false" ht="39.75" hidden="false" customHeight="true" outlineLevel="0" collapsed="false">
      <c r="A11" s="44" t="s">
        <v>468</v>
      </c>
      <c r="B11" s="3" t="s">
        <v>469</v>
      </c>
    </row>
    <row r="12" customFormat="false" ht="39.75" hidden="false" customHeight="true" outlineLevel="0" collapsed="false">
      <c r="A12" s="44" t="s">
        <v>470</v>
      </c>
      <c r="B12" s="3" t="s">
        <v>471</v>
      </c>
    </row>
    <row r="13" customFormat="false" ht="39.75" hidden="false" customHeight="true" outlineLevel="0" collapsed="false">
      <c r="A13" s="44" t="s">
        <v>472</v>
      </c>
      <c r="B13" s="3" t="s">
        <v>473</v>
      </c>
    </row>
    <row r="14" customFormat="false" ht="39.75" hidden="false" customHeight="true" outlineLevel="0" collapsed="false">
      <c r="A14" s="44" t="s">
        <v>474</v>
      </c>
      <c r="B14" s="3" t="s">
        <v>475</v>
      </c>
    </row>
    <row r="15" customFormat="false" ht="39.75" hidden="false" customHeight="true" outlineLevel="0" collapsed="false">
      <c r="A15" s="44" t="s">
        <v>476</v>
      </c>
      <c r="B15" s="3" t="s">
        <v>477</v>
      </c>
    </row>
    <row r="16" customFormat="false" ht="39.75" hidden="false" customHeight="true" outlineLevel="0" collapsed="false">
      <c r="A16" s="44" t="s">
        <v>478</v>
      </c>
      <c r="B16" s="3" t="s">
        <v>479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2026-06-09T04:13:20Z</dcterms:created>
  <dc:creator>openpyxl</dc:creator>
  <dc:description/>
  <dc:language>en-US</dc:language>
  <cp:lastModifiedBy/>
  <dcterms:modified xsi:type="dcterms:W3CDTF">2026-06-09T04:13:49Z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