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Growth Chain" sheetId="3" state="visible" r:id="rId5"/>
    <sheet name="WACC" sheetId="4" state="visible" r:id="rId6"/>
    <sheet name="DCF Outputs" sheetId="5" state="visible" r:id="rId7"/>
    <sheet name="Per-Share Bridge" sheetId="6" state="visible" r:id="rId8"/>
    <sheet name="v1 vs v2 delta" sheetId="7" state="visible" r:id="rId9"/>
    <sheet name="Scenario Rational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<sst xmlns="http://schemas.openxmlformats.org/spreadsheetml/2006/main" count="231" uniqueCount="200">
  <si>
    <t xml:space="preserve">DNL Scenario Comparison v2 — single-WACC discipline (28 May 2026)</t>
  </si>
  <si>
    <t xml:space="preserve">Methodology change vs v1:</t>
  </si>
  <si>
    <t xml:space="preserve">WACC held constant across all scenarios (per methodology §3.5)</t>
  </si>
  <si>
    <t xml:space="preserve">Why:</t>
  </si>
  <si>
    <t xml:space="preserve">Each scenario already prices its risk through the cash flow path. Adding scenario-conditional WACC would double-count: higher discount rate on top of already-compressed cash flows penalises the same risk twice. The marginal investor's required return is set at the valuation date by today's market conditions; it does not change conditional on which future state is realised.</t>
  </si>
  <si>
    <t xml:space="preserve">WACC applied to all scenarios:</t>
  </si>
  <si>
    <t xml:space="preserve">9.16%</t>
  </si>
  <si>
    <t xml:space="preserve">WACC derivation:</t>
  </si>
  <si>
    <t xml:space="preserve">Rf 4.30% + beta 1.15 x ERP 5.00% = Re 10.05%; Rd 6.0% x (1-22.5%) = 4.65%; E/V 83.5%, D/V 16.5%.</t>
  </si>
  <si>
    <t xml:space="preserve">What still varies by scenario:</t>
  </si>
  <si>
    <t xml:space="preserve">  Macro baseline</t>
  </si>
  <si>
    <t xml:space="preserve">DM real GDP, inflation, mining growth, gas prices — drive the revenue-growth chain</t>
  </si>
  <si>
    <t xml:space="preserve">  Margin delta</t>
  </si>
  <si>
    <t xml:space="preserve">Scenario-conditional EBIT margin adjustment (sum of gross margin + input cost pass-through - SG&amp;A)</t>
  </si>
  <si>
    <t xml:space="preserve">  Terminal growth</t>
  </si>
  <si>
    <t xml:space="preserve">Scenario-conditional — structural economic state, not a re-pricing of risk</t>
  </si>
  <si>
    <t xml:space="preserve">  Capex (climate scenario)</t>
  </si>
  <si>
    <t xml:space="preserve">Disorderly Climate adds +3pp to capex/revenue for decarbonisation</t>
  </si>
  <si>
    <t xml:space="preserve">What does NOT vary by scenario (per §3.5):</t>
  </si>
  <si>
    <t xml:space="preserve">  WACC</t>
  </si>
  <si>
    <t xml:space="preserve">Constant across all six scenarios at 9.16%</t>
  </si>
  <si>
    <t xml:space="preserve">  Rate-driver entries</t>
  </si>
  <si>
    <t xml:space="preserve">Retained in impact matrix for scenario narrative purposes only — not applied to discount rate</t>
  </si>
  <si>
    <t xml:space="preserve">User override mechanism:</t>
  </si>
  <si>
    <t xml:space="preserve">The WACC tab exposes a single 'Applied WACC' cell that defaults to the component build. Users can override it for sensitivity analysis (e.g., WACC -100bps to test re-rating).</t>
  </si>
  <si>
    <t xml:space="preserve">Tabs:</t>
  </si>
  <si>
    <t xml:space="preserve">  Inputs</t>
  </si>
  <si>
    <t xml:space="preserve">Scenario macro baselines + scenario-conditional deltas (margin, terminal growth, capex)</t>
  </si>
  <si>
    <t xml:space="preserve">  Growth Chain</t>
  </si>
  <si>
    <t xml:space="preserve">Industry archetype translation → DNL position → revenue growth path</t>
  </si>
  <si>
    <t xml:space="preserve">Single WACC component build with override mechanism</t>
  </si>
  <si>
    <t xml:space="preserve">  DCF Outputs</t>
  </si>
  <si>
    <t xml:space="preserve">EV, equity, per share — all six scenarios using same WACC</t>
  </si>
  <si>
    <t xml:space="preserve">  Per-Share Bridge</t>
  </si>
  <si>
    <t xml:space="preserve">Per-share comparison vs Muddle Through baseline</t>
  </si>
  <si>
    <t xml:space="preserve">  v1 vs v2 delta</t>
  </si>
  <si>
    <t xml:space="preserve">Side-by-side: differential WACC (v1) vs single WACC (v2). Shows magnitude of methodology change.</t>
  </si>
  <si>
    <t xml:space="preserve">  Scenario Rationale</t>
  </si>
  <si>
    <t xml:space="preserve">One-paragraph rationale per scenario</t>
  </si>
  <si>
    <t xml:space="preserve">Cross-references:</t>
  </si>
  <si>
    <t xml:space="preserve">  Methodology</t>
  </si>
  <si>
    <t xml:space="preserve">design/methodology/equity_bridge_and_valuation_mechanics.md §3.5</t>
  </si>
  <si>
    <t xml:space="preserve">  Architecture spec</t>
  </si>
  <si>
    <t xml:space="preserve">design/architecture.md v0.3.1 (resolves §9.7 review item 4)</t>
  </si>
  <si>
    <t xml:space="preserve">  Worked example</t>
  </si>
  <si>
    <t xml:space="preserve">analyses/dnl/valuations/dnl_muddle_through_valuation_v2.xlsx (full methodology applied to one scenario)</t>
  </si>
  <si>
    <t xml:space="preserve">Scenario-varying inputs (single-WACC discipline; rate deltas retained for narrative only)</t>
  </si>
  <si>
    <t xml:space="preserve">Input</t>
  </si>
  <si>
    <t xml:space="preserve">Muddle
Through</t>
  </si>
  <si>
    <t xml:space="preserve">Orderly
Convergence</t>
  </si>
  <si>
    <t xml:space="preserve">AI Prod.
Lag</t>
  </si>
  <si>
    <t xml:space="preserve">Fragmen-
tation</t>
  </si>
  <si>
    <t xml:space="preserve">Disorderly
Climate</t>
  </si>
  <si>
    <t xml:space="preserve">Stagflation
Persists</t>
  </si>
  <si>
    <t xml:space="preserve">SCENARIO MACRO BASELINE (drives the growth chain)</t>
  </si>
  <si>
    <t xml:space="preserve">DM real GDP growth</t>
  </si>
  <si>
    <t xml:space="preserve">DM inflation</t>
  </si>
  <si>
    <t xml:space="preserve">Global mining real growth</t>
  </si>
  <si>
    <t xml:space="preserve">Gas price growth</t>
  </si>
  <si>
    <t xml:space="preserve">SCENARIO-CONDITIONAL DELTAS</t>
  </si>
  <si>
    <t xml:space="preserve">Margin delta (pp; gross margin + input-cost pass-through - SG&amp;A)</t>
  </si>
  <si>
    <t xml:space="preserve">Terminal growth delta (bps)</t>
  </si>
  <si>
    <t xml:space="preserve">Climate capex delta (pp added to capex/revenue)</t>
  </si>
  <si>
    <t xml:space="preserve">  Rate delta (info only)</t>
  </si>
  <si>
    <t xml:space="preserve">DERIVED FROM THE CHAIN (per methodology §2)</t>
  </si>
  <si>
    <t xml:space="preserve">Industry volume growth</t>
  </si>
  <si>
    <t xml:space="preserve">Industry pricing growth</t>
  </si>
  <si>
    <t xml:space="preserve">Industry nominal growth</t>
  </si>
  <si>
    <t xml:space="preserve">DNL nominal revenue growth (applied)</t>
  </si>
  <si>
    <t xml:space="preserve">MARGIN PATH (base 12.9% + glide + scenario delta)</t>
  </si>
  <si>
    <t xml:space="preserve">Year 1 EBIT margin (FY27)</t>
  </si>
  <si>
    <t xml:space="preserve">Year 5 EBIT margin (FY31)</t>
  </si>
  <si>
    <t xml:space="preserve">WACC (CONSTANT ACROSS SCENARIOS per §3.5)</t>
  </si>
  <si>
    <t xml:space="preserve">Applied WACC</t>
  </si>
  <si>
    <t xml:space="preserve">TERMINAL GROWTH (scenario-conditional — structural state)</t>
  </si>
  <si>
    <t xml:space="preserve">Applied terminal growth</t>
  </si>
  <si>
    <t xml:space="preserve">Revenue-growth derivation: scenario macro → industry archetype → DNL position</t>
  </si>
  <si>
    <t xml:space="preserve">Chain step</t>
  </si>
  <si>
    <t xml:space="preserve">INPUTS (scenario-specific macro)</t>
  </si>
  <si>
    <t xml:space="preserve">  Global mining real growth</t>
  </si>
  <si>
    <t xml:space="preserve">  DM inflation</t>
  </si>
  <si>
    <t xml:space="preserve">  Gas price growth</t>
  </si>
  <si>
    <t xml:space="preserve">INDUSTRY ARCHETYPE TRANSLATION</t>
  </si>
  <si>
    <t xml:space="preserve">Volume formula: 1.15 x mining_real_growth + 0.4%</t>
  </si>
  <si>
    <t xml:space="preserve">  → Industry volume growth</t>
  </si>
  <si>
    <t xml:space="preserve">Pricing formula: 0.7 x inflation + 0.3 x gas + 0.5% productivity</t>
  </si>
  <si>
    <t xml:space="preserve">  → Industry pricing growth</t>
  </si>
  <si>
    <t xml:space="preserve">Industry nominal growth (1+vol)*(1+price)-1</t>
  </si>
  <si>
    <t xml:space="preserve">DNL COMPANY-POSITION OFFSETS</t>
  </si>
  <si>
    <t xml:space="preserve">Geographic-mix multiplier: 0.90 x 1.0 + 0.10 x 1.30 = 1.030</t>
  </si>
  <si>
    <t xml:space="preserve">DNL company offset: -50bps (mature-market drag net of DNEL pipeline)</t>
  </si>
  <si>
    <t xml:space="preserve">REVENUE TRAJECTORY (AUD m)</t>
  </si>
  <si>
    <t xml:space="preserve">  Year 1 (FY27) revenue</t>
  </si>
  <si>
    <t xml:space="preserve">  Year 2 (FY28) revenue</t>
  </si>
  <si>
    <t xml:space="preserve">  Year 3 (FY29) revenue</t>
  </si>
  <si>
    <t xml:space="preserve">  Year 4 (FY30) revenue</t>
  </si>
  <si>
    <t xml:space="preserve">  Year 5 (FY31) revenue</t>
  </si>
  <si>
    <t xml:space="preserve">  Year 5 revenue (FY31)</t>
  </si>
  <si>
    <t xml:space="preserve">WACC: single component build applied to all scenarios</t>
  </si>
  <si>
    <t xml:space="preserve">Component</t>
  </si>
  <si>
    <t xml:space="preserve">Value</t>
  </si>
  <si>
    <t xml:space="preserve">Notes</t>
  </si>
  <si>
    <t xml:space="preserve">COST OF EQUITY</t>
  </si>
  <si>
    <t xml:space="preserve">Risk-free rate (Rf)</t>
  </si>
  <si>
    <t xml:space="preserve">10Y AUD govt bond yield (May 2026)</t>
  </si>
  <si>
    <t xml:space="preserve">Equity risk premium (ERP)</t>
  </si>
  <si>
    <t xml:space="preserve">Mature-Australia ERP (Damodaran-style)</t>
  </si>
  <si>
    <t xml:space="preserve">Beta</t>
  </si>
  <si>
    <t xml:space="preserve">Pre-demerger IPL 1.05-1.10; pure-play uplift</t>
  </si>
  <si>
    <t xml:space="preserve">Cost of equity (Re = Rf + Beta x ERP)</t>
  </si>
  <si>
    <t xml:space="preserve">CAPM</t>
  </si>
  <si>
    <t xml:space="preserve">COST OF DEBT</t>
  </si>
  <si>
    <t xml:space="preserve">Cost of debt, pre-tax</t>
  </si>
  <si>
    <t xml:space="preserve">AUD BBB spread ~170bps over 10Y sovereign</t>
  </si>
  <si>
    <t xml:space="preserve">Tax rate</t>
  </si>
  <si>
    <t xml:space="preserve">FY26 effective tax rate</t>
  </si>
  <si>
    <t xml:space="preserve">Cost of debt, after-tax</t>
  </si>
  <si>
    <t xml:space="preserve">Rd_after_tax = Rd_pretax x (1 - tax)</t>
  </si>
  <si>
    <t xml:space="preserve">CAPITAL-STRUCTURE WEIGHTS (market value)</t>
  </si>
  <si>
    <t xml:space="preserve">Equity market value (E)</t>
  </si>
  <si>
    <t xml:space="preserve">Per H1 disclosure</t>
  </si>
  <si>
    <t xml:space="preserve">Debt market value (D)</t>
  </si>
  <si>
    <t xml:space="preserve">Reported net debt 31 Mar 2026</t>
  </si>
  <si>
    <t xml:space="preserve">V = E + D</t>
  </si>
  <si>
    <t xml:space="preserve">E/V</t>
  </si>
  <si>
    <t xml:space="preserve">D/V</t>
  </si>
  <si>
    <t xml:space="preserve">BASELINE WACC</t>
  </si>
  <si>
    <t xml:space="preserve">Baseline WACC (computed)</t>
  </si>
  <si>
    <t xml:space="preserve">(E/V) x Re + (D/V) x Rd_at</t>
  </si>
  <si>
    <t xml:space="preserve">APPLIED WACC (with user-override mechanism — per methodology §3.5.3)</t>
  </si>
  <si>
    <t xml:space="preserve">Default: linked to baseline build. Override this cell for sensitivity analysis (e.g., enter 0.0816 for WACC -100bps).</t>
  </si>
  <si>
    <t xml:space="preserve">DISCIPLINE NOTE</t>
  </si>
  <si>
    <t xml:space="preserve">Applied WACC is held CONSTANT across all scenarios.</t>
  </si>
  <si>
    <t xml:space="preserve">Per methodology §3.5: each scenario already prices its risk through cash flows. Using a higher discount rate in a stress scenario would double-count risk. Scenario rate-driver deltas (Rf, ERP, country) are retained as scenario narrative context but do NOT flow into the DCF discount rate.</t>
  </si>
  <si>
    <t xml:space="preserve">DCF outputs — single-WACC discipline, all six scenarios side by side</t>
  </si>
  <si>
    <t xml:space="preserve">Output</t>
  </si>
  <si>
    <t xml:space="preserve">KEY DRIVERS (year 5)</t>
  </si>
  <si>
    <t xml:space="preserve">Revenue (Y5, AUD m)</t>
  </si>
  <si>
    <t xml:space="preserve">EBIT margin (Y5)</t>
  </si>
  <si>
    <t xml:space="preserve">EBIT (Y5, AUD m)</t>
  </si>
  <si>
    <t xml:space="preserve">FCFF (Y5, AUD m)</t>
  </si>
  <si>
    <t xml:space="preserve">DISCOUNTING (constant WACC, scenario-conditional terminal growth)</t>
  </si>
  <si>
    <t xml:space="preserve">Applied WACC (constant)</t>
  </si>
  <si>
    <t xml:space="preserve">VALUATION</t>
  </si>
  <si>
    <t xml:space="preserve">Sum PV of explicit FCFF (stub + Y1-Y5)</t>
  </si>
  <si>
    <t xml:space="preserve">Terminal value (Gordon growth)</t>
  </si>
  <si>
    <t xml:space="preserve">PV of terminal value</t>
  </si>
  <si>
    <t xml:space="preserve">Enterprise value (EV)</t>
  </si>
  <si>
    <t xml:space="preserve">  Terminal share of EV (diagnostic)</t>
  </si>
  <si>
    <t xml:space="preserve">EQUITY BRIDGE</t>
  </si>
  <si>
    <t xml:space="preserve">Net debt at valuation date</t>
  </si>
  <si>
    <t xml:space="preserve">Equity-bridge adjustments (net)</t>
  </si>
  <si>
    <t xml:space="preserve">Equity value</t>
  </si>
  <si>
    <t xml:space="preserve">PER SHARE (shares 1,770m)</t>
  </si>
  <si>
    <t xml:space="preserve">Value per share</t>
  </si>
  <si>
    <t xml:space="preserve">vs market (AUD 3.61)</t>
  </si>
  <si>
    <t xml:space="preserve">vs Muddle Through</t>
  </si>
  <si>
    <t xml:space="preserve">Per-share value: each scenario vs Muddle Through</t>
  </si>
  <si>
    <t xml:space="preserve">PER-SHARE COMPONENTS</t>
  </si>
  <si>
    <t xml:space="preserve">Value per share (AUD)</t>
  </si>
  <si>
    <t xml:space="preserve">Difference vs Muddle Through (AUD)</t>
  </si>
  <si>
    <t xml:space="preserve">Difference vs Muddle Through (%)</t>
  </si>
  <si>
    <t xml:space="preserve">MARKET CHECK</t>
  </si>
  <si>
    <t xml:space="preserve">Market reference</t>
  </si>
  <si>
    <t xml:space="preserve">Per-share / market</t>
  </si>
  <si>
    <t xml:space="preserve">Discount / (premium) vs market</t>
  </si>
  <si>
    <t xml:space="preserve">ASYMMETRY (downside vs upside relative to Muddle Through)</t>
  </si>
  <si>
    <t xml:space="preserve">Upside (Orderly - MT, AUD)</t>
  </si>
  <si>
    <t xml:space="preserve">Worst downside (MT - Stagflation, AUD)</t>
  </si>
  <si>
    <t xml:space="preserve">Downside / upside ratio</t>
  </si>
  <si>
    <t xml:space="preserve">Asymmetry persists even under single-WACC discipline. Downside compression (cash-flow path only) &gt; upside lift. Cleaner test of cash-flow scenarios alone, no help from WACC differentials.</t>
  </si>
  <si>
    <t xml:space="preserve">Methodology change: differential WACC (v1) vs single WACC (v2)</t>
  </si>
  <si>
    <t xml:space="preserve">Metric</t>
  </si>
  <si>
    <t xml:space="preserve">WACC APPLIED</t>
  </si>
  <si>
    <t xml:space="preserve">v1: differential WACC</t>
  </si>
  <si>
    <t xml:space="preserve">v2: single WACC</t>
  </si>
  <si>
    <t xml:space="preserve">Δ WACC</t>
  </si>
  <si>
    <t xml:space="preserve">PER SHARE</t>
  </si>
  <si>
    <t xml:space="preserve">Δ AUD per share</t>
  </si>
  <si>
    <t xml:space="preserve">Δ %</t>
  </si>
  <si>
    <t xml:space="preserve">RANGE COMPRESSION</t>
  </si>
  <si>
    <t xml:space="preserve">v1 range (max - min per share)</t>
  </si>
  <si>
    <t xml:space="preserve">v2 range</t>
  </si>
  <si>
    <t xml:space="preserve">Compression</t>
  </si>
  <si>
    <t xml:space="preserve">Interpretation: under single-WACC, the range compresses by ~30%. Downside scenarios (Stagflation, Fragmentation, Disorderly Climate) lose their double-counted WACC penalty and rise; upside (Orderly Convergence) loses its WACC tailwind and falls. Muddle Through unchanged (already used the central-case WACC).</t>
  </si>
  <si>
    <t xml:space="preserve">Scenario rationale</t>
  </si>
  <si>
    <t xml:space="preserve">Scenario</t>
  </si>
  <si>
    <t xml:space="preserve">Rationale</t>
  </si>
  <si>
    <t xml:space="preserve">Muddle Through
(Interior, most-likely)</t>
  </si>
  <si>
    <t xml:space="preserve">Interior most-likely. Mining-customer capex cycle continues at current pace. Rates and ERP at baseline.</t>
  </si>
  <si>
    <t xml:space="preserve">Orderly Convergence
(Upside boundary)</t>
  </si>
  <si>
    <t xml:space="preserve">Productivity acceleration + ordered geopolitics. Mining demand strong; rates lower; risk-on. Volume +3.5%, gross margin +0.5pp.</t>
  </si>
  <si>
    <t xml:space="preserve">AI Productivity Lag
(Technology-downside boundary)</t>
  </si>
  <si>
    <t xml:space="preserve">AI fails to deliver economy-wide TFP gains. Modest labour-cost benefit (-0.5pp SG&amp;A) but disappointing growth (1.7% real GDP). Terminal growth -25bps.</t>
  </si>
  <si>
    <t xml:space="preserve">Fragmentation
(Geopolitical-downside boundary)</t>
  </si>
  <si>
    <t xml:space="preserve">Trade fragmentation + resource nationalism. Supply chains fracture; price-mix and volume both compressed (-1.5%/-1.5%); cost pressure with partial pass-through.</t>
  </si>
  <si>
    <t xml:space="preserve">Disorderly Climate
(Climate-downside boundary)</t>
  </si>
  <si>
    <t xml:space="preserve">Disorderly climate crystallisation: carbon costs accelerate; mining mix shifts (thermal coal down, transition metals up); gas-led cost pressure (+6% gas). Margin -3pp; +3pp capex for decarbonisation; terminal growth -75bps.</t>
  </si>
  <si>
    <t xml:space="preserve">Stagflation Persists
(Macro-downside boundary)</t>
  </si>
  <si>
    <t xml:space="preserve">Persistent stagflation: weak real growth (0.5%), high inflation (4.5%), high gas costs (5%). Cost squeeze; pass-through broken (-3.5pp gross margin + -3.5pp input cost).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</si>
</sst>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;\(0.00%\);\-"/>
    <numFmt numFmtId="166" formatCode="\+#,##0&quot; bps&quot;;\-#,##0&quot; bps&quot;;&quot;- bps&quot;"/>
    <numFmt numFmtId="167" formatCode="0.0%;\(0.0%\);\-"/>
    <numFmt numFmtId="168" formatCode="#,##0;\(#,##0\);\-"/>
    <numFmt numFmtId="169" formatCode="0.00"/>
    <numFmt numFmtId="170" formatCode="&quot;AUD &quot;#,##0.00;&quot;(AUD &quot;#,##0.00\);\-"/>
    <numFmt numFmtId="171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EFEFEF"/>
      </patternFill>
    </fill>
    <fill>
      <patternFill patternType="solid">
        <fgColor rgb="FFFCE4E4"/>
        <bgColor rgb="FFEFEFEF"/>
      </patternFill>
    </fill>
    <fill>
      <patternFill patternType="solid">
        <fgColor rgb="FFEFEFEF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80"/>
  </cols>
  <sheetData>
    <row r="1" customFormat="false" ht="19.5" hidden="false" customHeight="true" outlineLevel="0" collapsed="false">
      <c r="B1" s="2" t="s">
        <v>0</v>
      </c>
    </row>
    <row r="3" customFormat="false" ht="15" hidden="false" customHeight="true" outlineLevel="0" collapsed="false">
      <c r="B3" s="3" t="s">
        <v>1</v>
      </c>
      <c r="C3" s="4" t="s">
        <v>2</v>
      </c>
    </row>
    <row r="4" customFormat="false" ht="15" hidden="false" customHeight="true" outlineLevel="0" collapsed="false">
      <c r="B4" s="3"/>
      <c r="C4" s="4"/>
    </row>
    <row r="5" customFormat="false" ht="64.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/>
      <c r="C6" s="4"/>
    </row>
    <row r="7" customFormat="false" ht="15" hidden="false" customHeight="true" outlineLevel="0" collapsed="false">
      <c r="B7" s="3" t="s">
        <v>5</v>
      </c>
      <c r="C7" s="4" t="s">
        <v>6</v>
      </c>
    </row>
    <row r="8" customFormat="false" ht="26.25" hidden="false" customHeight="true" outlineLevel="0" collapsed="false">
      <c r="B8" s="3" t="s">
        <v>7</v>
      </c>
      <c r="C8" s="4" t="s">
        <v>8</v>
      </c>
    </row>
    <row r="9" customFormat="false" ht="15" hidden="false" customHeight="true" outlineLevel="0" collapsed="false">
      <c r="B9" s="3"/>
      <c r="C9" s="4"/>
    </row>
    <row r="10" customFormat="false" ht="15" hidden="false" customHeight="true" outlineLevel="0" collapsed="false">
      <c r="B10" s="3" t="s">
        <v>9</v>
      </c>
      <c r="C10" s="4"/>
    </row>
    <row r="11" customFormat="false" ht="15" hidden="false" customHeight="true" outlineLevel="0" collapsed="false">
      <c r="B11" s="3" t="s">
        <v>10</v>
      </c>
      <c r="C11" s="4" t="s">
        <v>11</v>
      </c>
    </row>
    <row r="12" customFormat="false" ht="26.25" hidden="false" customHeight="true" outlineLevel="0" collapsed="false">
      <c r="B12" s="3" t="s">
        <v>12</v>
      </c>
      <c r="C12" s="4" t="s">
        <v>13</v>
      </c>
    </row>
    <row r="13" customFormat="false" ht="15" hidden="false" customHeight="true" outlineLevel="0" collapsed="false">
      <c r="B13" s="3" t="s">
        <v>14</v>
      </c>
      <c r="C13" s="4" t="s">
        <v>15</v>
      </c>
    </row>
    <row r="14" customFormat="false" ht="15" hidden="false" customHeight="true" outlineLevel="0" collapsed="false">
      <c r="B14" s="3" t="s">
        <v>16</v>
      </c>
      <c r="C14" s="4" t="s">
        <v>17</v>
      </c>
    </row>
    <row r="15" customFormat="false" ht="15" hidden="false" customHeight="true" outlineLevel="0" collapsed="false">
      <c r="B15" s="3"/>
      <c r="C15" s="4"/>
    </row>
    <row r="16" customFormat="false" ht="15" hidden="false" customHeight="true" outlineLevel="0" collapsed="false">
      <c r="B16" s="3" t="s">
        <v>18</v>
      </c>
      <c r="C16" s="4"/>
    </row>
    <row r="17" customFormat="false" ht="15" hidden="false" customHeight="true" outlineLevel="0" collapsed="false">
      <c r="B17" s="3" t="s">
        <v>19</v>
      </c>
      <c r="C17" s="4" t="s">
        <v>20</v>
      </c>
    </row>
    <row r="18" customFormat="false" ht="26.25" hidden="false" customHeight="true" outlineLevel="0" collapsed="false">
      <c r="B18" s="3" t="s">
        <v>21</v>
      </c>
      <c r="C18" s="4" t="s">
        <v>22</v>
      </c>
    </row>
    <row r="19" customFormat="false" ht="15" hidden="false" customHeight="true" outlineLevel="0" collapsed="false">
      <c r="B19" s="3"/>
      <c r="C19" s="4"/>
    </row>
    <row r="20" customFormat="false" ht="39" hidden="false" customHeight="true" outlineLevel="0" collapsed="false">
      <c r="B20" s="3" t="s">
        <v>23</v>
      </c>
      <c r="C20" s="4" t="s">
        <v>24</v>
      </c>
    </row>
    <row r="21" customFormat="false" ht="15" hidden="false" customHeight="true" outlineLevel="0" collapsed="false">
      <c r="B21" s="3"/>
      <c r="C21" s="4"/>
    </row>
    <row r="22" customFormat="false" ht="15" hidden="false" customHeight="true" outlineLevel="0" collapsed="false">
      <c r="B22" s="3" t="s">
        <v>25</v>
      </c>
      <c r="C22" s="4"/>
    </row>
    <row r="23" customFormat="false" ht="26.25" hidden="false" customHeight="true" outlineLevel="0" collapsed="false">
      <c r="B23" s="3" t="s">
        <v>26</v>
      </c>
      <c r="C23" s="4" t="s">
        <v>27</v>
      </c>
    </row>
    <row r="24" customFormat="false" ht="15" hidden="false" customHeight="true" outlineLevel="0" collapsed="false">
      <c r="B24" s="3" t="s">
        <v>28</v>
      </c>
      <c r="C24" s="4" t="s">
        <v>29</v>
      </c>
    </row>
    <row r="25" customFormat="false" ht="15" hidden="false" customHeight="true" outlineLevel="0" collapsed="false">
      <c r="B25" s="3" t="s">
        <v>19</v>
      </c>
      <c r="C25" s="4" t="s">
        <v>30</v>
      </c>
    </row>
    <row r="26" customFormat="false" ht="15" hidden="false" customHeight="true" outlineLevel="0" collapsed="false">
      <c r="B26" s="3" t="s">
        <v>31</v>
      </c>
      <c r="C26" s="4" t="s">
        <v>32</v>
      </c>
    </row>
    <row r="27" customFormat="false" ht="15" hidden="false" customHeight="true" outlineLevel="0" collapsed="false">
      <c r="B27" s="3" t="s">
        <v>33</v>
      </c>
      <c r="C27" s="4" t="s">
        <v>34</v>
      </c>
    </row>
    <row r="28" customFormat="false" ht="26.25" hidden="false" customHeight="true" outlineLevel="0" collapsed="false">
      <c r="B28" s="3" t="s">
        <v>35</v>
      </c>
      <c r="C28" s="4" t="s">
        <v>36</v>
      </c>
    </row>
    <row r="29" customFormat="false" ht="15" hidden="false" customHeight="true" outlineLevel="0" collapsed="false">
      <c r="B29" s="3" t="s">
        <v>37</v>
      </c>
      <c r="C29" s="4" t="s">
        <v>38</v>
      </c>
    </row>
    <row r="30" customFormat="false" ht="15" hidden="false" customHeight="true" outlineLevel="0" collapsed="false">
      <c r="B30" s="3"/>
      <c r="C30" s="4"/>
    </row>
    <row r="31" customFormat="false" ht="15" hidden="false" customHeight="true" outlineLevel="0" collapsed="false">
      <c r="B31" s="3" t="s">
        <v>39</v>
      </c>
      <c r="C31" s="4"/>
    </row>
    <row r="32" customFormat="false" ht="15" hidden="false" customHeight="true" outlineLevel="0" collapsed="false">
      <c r="B32" s="3" t="s">
        <v>40</v>
      </c>
      <c r="C32" s="4" t="s">
        <v>41</v>
      </c>
    </row>
    <row r="33" customFormat="false" ht="15" hidden="false" customHeight="true" outlineLevel="0" collapsed="false">
      <c r="B33" s="3" t="s">
        <v>42</v>
      </c>
      <c r="C33" s="4" t="s">
        <v>43</v>
      </c>
    </row>
    <row r="34" customFormat="false" ht="26.25" hidden="false" customHeight="true" outlineLevel="0" collapsed="false">
      <c r="B34" s="3" t="s">
        <v>44</v>
      </c>
      <c r="C34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4"/>
  </cols>
  <sheetData>
    <row r="1" customFormat="false" ht="15.75" hidden="false" customHeight="true" outlineLevel="0" collapsed="false">
      <c r="A1" s="5" t="s">
        <v>46</v>
      </c>
      <c r="B1" s="5"/>
      <c r="C1" s="5"/>
      <c r="D1" s="5"/>
      <c r="E1" s="5"/>
      <c r="F1" s="5"/>
      <c r="G1" s="5"/>
    </row>
    <row r="3" customFormat="false" ht="36" hidden="false" customHeight="true" outlineLevel="0" collapsed="false">
      <c r="A3" s="6" t="s">
        <v>47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</row>
    <row r="5" customFormat="false" ht="21.75" hidden="false" customHeight="true" outlineLevel="0" collapsed="false">
      <c r="A5" s="6" t="s">
        <v>54</v>
      </c>
      <c r="B5" s="8"/>
      <c r="C5" s="8"/>
      <c r="D5" s="8"/>
      <c r="E5" s="8"/>
      <c r="F5" s="8"/>
      <c r="G5" s="8"/>
    </row>
    <row r="6" customFormat="false" ht="15" hidden="false" customHeight="true" outlineLevel="0" collapsed="false">
      <c r="A6" s="4" t="s">
        <v>55</v>
      </c>
      <c r="B6" s="9" t="n">
        <v>0.02</v>
      </c>
      <c r="C6" s="10" t="n">
        <v>0.025</v>
      </c>
      <c r="D6" s="9" t="n">
        <v>0.017</v>
      </c>
      <c r="E6" s="9" t="n">
        <v>0.01</v>
      </c>
      <c r="F6" s="9" t="n">
        <v>0.015</v>
      </c>
      <c r="G6" s="11" t="n">
        <v>0.005</v>
      </c>
    </row>
    <row r="7" customFormat="false" ht="15" hidden="false" customHeight="true" outlineLevel="0" collapsed="false">
      <c r="A7" s="4" t="s">
        <v>56</v>
      </c>
      <c r="B7" s="9" t="n">
        <v>0.025</v>
      </c>
      <c r="C7" s="11" t="n">
        <v>0.02</v>
      </c>
      <c r="D7" s="9" t="n">
        <v>0.025</v>
      </c>
      <c r="E7" s="9" t="n">
        <v>0.035</v>
      </c>
      <c r="F7" s="9" t="n">
        <v>0.035</v>
      </c>
      <c r="G7" s="10" t="n">
        <v>0.045</v>
      </c>
    </row>
    <row r="8" customFormat="false" ht="15" hidden="false" customHeight="true" outlineLevel="0" collapsed="false">
      <c r="A8" s="4" t="s">
        <v>57</v>
      </c>
      <c r="B8" s="9" t="n">
        <v>0.025</v>
      </c>
      <c r="C8" s="10" t="n">
        <v>0.04</v>
      </c>
      <c r="D8" s="9" t="n">
        <v>0.02</v>
      </c>
      <c r="E8" s="9" t="n">
        <v>0.015</v>
      </c>
      <c r="F8" s="9" t="n">
        <v>0.02</v>
      </c>
      <c r="G8" s="11" t="n">
        <v>0</v>
      </c>
    </row>
    <row r="9" customFormat="false" ht="15" hidden="false" customHeight="true" outlineLevel="0" collapsed="false">
      <c r="A9" s="4" t="s">
        <v>58</v>
      </c>
      <c r="B9" s="9" t="n">
        <v>0.02</v>
      </c>
      <c r="C9" s="11" t="n">
        <v>0.015</v>
      </c>
      <c r="D9" s="9" t="n">
        <v>0.02</v>
      </c>
      <c r="E9" s="9" t="n">
        <v>0.04</v>
      </c>
      <c r="F9" s="10" t="n">
        <v>0.06</v>
      </c>
      <c r="G9" s="9" t="n">
        <v>0.05</v>
      </c>
    </row>
    <row r="11" customFormat="false" ht="21.75" hidden="false" customHeight="true" outlineLevel="0" collapsed="false">
      <c r="A11" s="6" t="s">
        <v>59</v>
      </c>
      <c r="B11" s="8"/>
      <c r="C11" s="8"/>
      <c r="D11" s="8"/>
      <c r="E11" s="8"/>
      <c r="F11" s="8"/>
      <c r="G11" s="8"/>
    </row>
    <row r="12" customFormat="false" ht="26.25" hidden="false" customHeight="true" outlineLevel="0" collapsed="false">
      <c r="A12" s="4" t="s">
        <v>60</v>
      </c>
      <c r="B12" s="9" t="n">
        <v>0</v>
      </c>
      <c r="C12" s="10" t="n">
        <v>0.005</v>
      </c>
      <c r="D12" s="10" t="n">
        <v>0.005</v>
      </c>
      <c r="E12" s="9" t="n">
        <v>-0.03</v>
      </c>
      <c r="F12" s="9" t="n">
        <v>-0.03</v>
      </c>
      <c r="G12" s="11" t="n">
        <v>-0.075</v>
      </c>
    </row>
    <row r="13" customFormat="false" ht="15" hidden="false" customHeight="true" outlineLevel="0" collapsed="false">
      <c r="A13" s="4" t="s">
        <v>61</v>
      </c>
      <c r="B13" s="12" t="n">
        <v>0</v>
      </c>
      <c r="C13" s="13" t="n">
        <v>25</v>
      </c>
      <c r="D13" s="12" t="n">
        <v>-25</v>
      </c>
      <c r="E13" s="12" t="n">
        <v>-25</v>
      </c>
      <c r="F13" s="14" t="n">
        <v>-75</v>
      </c>
      <c r="G13" s="12" t="n">
        <v>-25</v>
      </c>
    </row>
    <row r="14" customFormat="false" ht="26.25" hidden="false" customHeight="true" outlineLevel="0" collapsed="false">
      <c r="A14" s="4" t="s">
        <v>62</v>
      </c>
      <c r="B14" s="11" t="n">
        <v>0</v>
      </c>
      <c r="C14" s="11" t="n">
        <v>0</v>
      </c>
      <c r="D14" s="11" t="n">
        <v>0</v>
      </c>
      <c r="E14" s="11" t="n">
        <v>0</v>
      </c>
      <c r="F14" s="10" t="n">
        <v>0.03</v>
      </c>
      <c r="G14" s="11" t="n">
        <v>0</v>
      </c>
    </row>
    <row r="16" customFormat="false" ht="15" hidden="false" customHeight="true" outlineLevel="0" collapsed="false">
      <c r="A16" s="4" t="s">
        <v>63</v>
      </c>
      <c r="B16" s="15" t="n">
        <v>0</v>
      </c>
      <c r="C16" s="15" t="n">
        <v>-100</v>
      </c>
      <c r="D16" s="15" t="n">
        <v>25</v>
      </c>
      <c r="E16" s="15" t="n">
        <v>175</v>
      </c>
      <c r="F16" s="15" t="n">
        <v>100</v>
      </c>
      <c r="G16" s="15" t="n">
        <v>275</v>
      </c>
    </row>
    <row r="18" customFormat="false" ht="21.75" hidden="false" customHeight="true" outlineLevel="0" collapsed="false">
      <c r="A18" s="6" t="s">
        <v>64</v>
      </c>
      <c r="B18" s="8"/>
      <c r="C18" s="8"/>
      <c r="D18" s="8"/>
      <c r="E18" s="8"/>
      <c r="F18" s="8"/>
      <c r="G18" s="8"/>
    </row>
    <row r="19" customFormat="false" ht="15" hidden="false" customHeight="true" outlineLevel="0" collapsed="false">
      <c r="A19" s="4" t="s">
        <v>65</v>
      </c>
      <c r="B19" s="9" t="n">
        <v>0.03275</v>
      </c>
      <c r="C19" s="9" t="n">
        <v>0.05</v>
      </c>
      <c r="D19" s="9" t="n">
        <v>0.027</v>
      </c>
      <c r="E19" s="9" t="n">
        <v>0.02125</v>
      </c>
      <c r="F19" s="9" t="n">
        <v>0.027</v>
      </c>
      <c r="G19" s="9" t="n">
        <v>0.004</v>
      </c>
    </row>
    <row r="20" customFormat="false" ht="15" hidden="false" customHeight="true" outlineLevel="0" collapsed="false">
      <c r="A20" s="4" t="s">
        <v>66</v>
      </c>
      <c r="B20" s="9" t="n">
        <v>0.0285</v>
      </c>
      <c r="C20" s="9" t="n">
        <v>0.0235</v>
      </c>
      <c r="D20" s="9" t="n">
        <v>0.0285</v>
      </c>
      <c r="E20" s="9" t="n">
        <v>0.0415</v>
      </c>
      <c r="F20" s="9" t="n">
        <v>0.0475</v>
      </c>
      <c r="G20" s="9" t="n">
        <v>0.0515</v>
      </c>
    </row>
    <row r="21" customFormat="false" ht="15" hidden="false" customHeight="true" outlineLevel="0" collapsed="false">
      <c r="A21" s="16" t="s">
        <v>67</v>
      </c>
      <c r="B21" s="17" t="n">
        <v>0.062183375</v>
      </c>
      <c r="C21" s="17" t="n">
        <v>0.0746750000000001</v>
      </c>
      <c r="D21" s="17" t="n">
        <v>0.0562695</v>
      </c>
      <c r="E21" s="17" t="n">
        <v>0.063631875</v>
      </c>
      <c r="F21" s="17" t="n">
        <v>0.0757825000000001</v>
      </c>
      <c r="G21" s="17" t="n">
        <v>0.055706</v>
      </c>
    </row>
    <row r="22" customFormat="false" ht="15" hidden="false" customHeight="true" outlineLevel="0" collapsed="false">
      <c r="A22" s="16" t="s">
        <v>68</v>
      </c>
      <c r="B22" s="17" t="n">
        <v>0.05904887625</v>
      </c>
      <c r="C22" s="17" t="n">
        <v>0.07191525</v>
      </c>
      <c r="D22" s="17" t="n">
        <v>0.052957585</v>
      </c>
      <c r="E22" s="17" t="n">
        <v>0.06054083125</v>
      </c>
      <c r="F22" s="17" t="n">
        <v>0.0730559750000001</v>
      </c>
      <c r="G22" s="17" t="n">
        <v>0.05237718</v>
      </c>
    </row>
    <row r="24" customFormat="false" ht="21.75" hidden="false" customHeight="true" outlineLevel="0" collapsed="false">
      <c r="A24" s="6" t="s">
        <v>69</v>
      </c>
      <c r="B24" s="8"/>
      <c r="C24" s="8"/>
      <c r="D24" s="8"/>
      <c r="E24" s="8"/>
      <c r="F24" s="8"/>
      <c r="G24" s="8"/>
    </row>
    <row r="25" customFormat="false" ht="15" hidden="false" customHeight="true" outlineLevel="0" collapsed="false">
      <c r="A25" s="4" t="s">
        <v>70</v>
      </c>
      <c r="B25" s="18" t="n">
        <v>0.139</v>
      </c>
      <c r="C25" s="18" t="n">
        <v>0.144</v>
      </c>
      <c r="D25" s="18" t="n">
        <v>0.144</v>
      </c>
      <c r="E25" s="18" t="n">
        <v>0.109</v>
      </c>
      <c r="F25" s="18" t="n">
        <v>0.109</v>
      </c>
      <c r="G25" s="18" t="n">
        <v>0.064</v>
      </c>
    </row>
    <row r="26" customFormat="false" ht="15" hidden="false" customHeight="true" outlineLevel="0" collapsed="false">
      <c r="A26" s="16" t="s">
        <v>71</v>
      </c>
      <c r="B26" s="19" t="n">
        <v>0.151</v>
      </c>
      <c r="C26" s="19" t="n">
        <v>0.156</v>
      </c>
      <c r="D26" s="19" t="n">
        <v>0.156</v>
      </c>
      <c r="E26" s="19" t="n">
        <v>0.121</v>
      </c>
      <c r="F26" s="19" t="n">
        <v>0.121</v>
      </c>
      <c r="G26" s="19" t="n">
        <v>0.076</v>
      </c>
    </row>
    <row r="28" customFormat="false" ht="21.75" hidden="false" customHeight="true" outlineLevel="0" collapsed="false">
      <c r="A28" s="6" t="s">
        <v>72</v>
      </c>
      <c r="B28" s="8"/>
      <c r="C28" s="8"/>
      <c r="D28" s="8"/>
      <c r="E28" s="8"/>
      <c r="F28" s="8"/>
      <c r="G28" s="8"/>
    </row>
    <row r="29" customFormat="false" ht="15" hidden="false" customHeight="true" outlineLevel="0" collapsed="false">
      <c r="A29" s="16" t="s">
        <v>73</v>
      </c>
      <c r="B29" s="17" t="n">
        <v>0.0916011658911486</v>
      </c>
      <c r="C29" s="17" t="n">
        <v>0.0916011658911486</v>
      </c>
      <c r="D29" s="17" t="n">
        <v>0.0916011658911486</v>
      </c>
      <c r="E29" s="17" t="n">
        <v>0.0916011658911486</v>
      </c>
      <c r="F29" s="17" t="n">
        <v>0.0916011658911486</v>
      </c>
      <c r="G29" s="17" t="n">
        <v>0.0916011658911486</v>
      </c>
    </row>
    <row r="31" customFormat="false" ht="21.75" hidden="false" customHeight="true" outlineLevel="0" collapsed="false">
      <c r="A31" s="6" t="s">
        <v>74</v>
      </c>
      <c r="B31" s="8"/>
      <c r="C31" s="8"/>
      <c r="D31" s="8"/>
      <c r="E31" s="8"/>
      <c r="F31" s="8"/>
      <c r="G31" s="8"/>
    </row>
    <row r="32" customFormat="false" ht="15" hidden="false" customHeight="true" outlineLevel="0" collapsed="false">
      <c r="A32" s="4" t="s">
        <v>75</v>
      </c>
      <c r="B32" s="9" t="n">
        <v>0.025</v>
      </c>
      <c r="C32" s="10" t="n">
        <v>0.0275</v>
      </c>
      <c r="D32" s="9" t="n">
        <v>0.0225</v>
      </c>
      <c r="E32" s="9" t="n">
        <v>0.0225</v>
      </c>
      <c r="F32" s="11" t="n">
        <v>0.0175</v>
      </c>
      <c r="G32" s="9" t="n">
        <v>0.0225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4"/>
  </cols>
  <sheetData>
    <row r="1" customFormat="false" ht="15.75" hidden="false" customHeight="true" outlineLevel="0" collapsed="false">
      <c r="A1" s="5" t="s">
        <v>76</v>
      </c>
      <c r="B1" s="5"/>
      <c r="C1" s="5"/>
      <c r="D1" s="5"/>
      <c r="E1" s="5"/>
      <c r="F1" s="5"/>
      <c r="G1" s="5"/>
    </row>
    <row r="3" customFormat="false" ht="36" hidden="false" customHeight="true" outlineLevel="0" collapsed="false">
      <c r="A3" s="6" t="s">
        <v>77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</row>
    <row r="5" customFormat="false" ht="21.75" hidden="false" customHeight="true" outlineLevel="0" collapsed="false">
      <c r="A5" s="6" t="s">
        <v>78</v>
      </c>
      <c r="B5" s="8"/>
      <c r="C5" s="8"/>
      <c r="D5" s="8"/>
      <c r="E5" s="8"/>
      <c r="F5" s="8"/>
      <c r="G5" s="8"/>
    </row>
    <row r="6" customFormat="false" ht="15" hidden="false" customHeight="true" outlineLevel="0" collapsed="false">
      <c r="A6" s="4" t="s">
        <v>79</v>
      </c>
      <c r="B6" s="9" t="n">
        <v>0.025</v>
      </c>
      <c r="C6" s="9" t="n">
        <v>0.04</v>
      </c>
      <c r="D6" s="9" t="n">
        <v>0.02</v>
      </c>
      <c r="E6" s="9" t="n">
        <v>0.015</v>
      </c>
      <c r="F6" s="9" t="n">
        <v>0.02</v>
      </c>
      <c r="G6" s="9" t="n">
        <v>0</v>
      </c>
    </row>
    <row r="7" customFormat="false" ht="15" hidden="false" customHeight="true" outlineLevel="0" collapsed="false">
      <c r="A7" s="4" t="s">
        <v>80</v>
      </c>
      <c r="B7" s="9" t="n">
        <v>0.025</v>
      </c>
      <c r="C7" s="9" t="n">
        <v>0.02</v>
      </c>
      <c r="D7" s="9" t="n">
        <v>0.025</v>
      </c>
      <c r="E7" s="9" t="n">
        <v>0.035</v>
      </c>
      <c r="F7" s="9" t="n">
        <v>0.035</v>
      </c>
      <c r="G7" s="9" t="n">
        <v>0.045</v>
      </c>
    </row>
    <row r="8" customFormat="false" ht="15" hidden="false" customHeight="true" outlineLevel="0" collapsed="false">
      <c r="A8" s="4" t="s">
        <v>81</v>
      </c>
      <c r="B8" s="9" t="n">
        <v>0.02</v>
      </c>
      <c r="C8" s="9" t="n">
        <v>0.015</v>
      </c>
      <c r="D8" s="9" t="n">
        <v>0.02</v>
      </c>
      <c r="E8" s="9" t="n">
        <v>0.04</v>
      </c>
      <c r="F8" s="9" t="n">
        <v>0.06</v>
      </c>
      <c r="G8" s="9" t="n">
        <v>0.05</v>
      </c>
    </row>
    <row r="10" customFormat="false" ht="21.75" hidden="false" customHeight="true" outlineLevel="0" collapsed="false">
      <c r="A10" s="6" t="s">
        <v>82</v>
      </c>
      <c r="B10" s="8"/>
      <c r="C10" s="8"/>
      <c r="D10" s="8"/>
      <c r="E10" s="8"/>
      <c r="F10" s="8"/>
      <c r="G10" s="8"/>
    </row>
    <row r="11" customFormat="false" ht="15" hidden="false" customHeight="true" outlineLevel="0" collapsed="false">
      <c r="A11" s="20" t="s">
        <v>83</v>
      </c>
    </row>
    <row r="12" customFormat="false" ht="15" hidden="false" customHeight="true" outlineLevel="0" collapsed="false">
      <c r="A12" s="16" t="s">
        <v>84</v>
      </c>
      <c r="B12" s="17" t="n">
        <v>0.03275</v>
      </c>
      <c r="C12" s="17" t="n">
        <v>0.05</v>
      </c>
      <c r="D12" s="17" t="n">
        <v>0.027</v>
      </c>
      <c r="E12" s="17" t="n">
        <v>0.02125</v>
      </c>
      <c r="F12" s="17" t="n">
        <v>0.027</v>
      </c>
      <c r="G12" s="17" t="n">
        <v>0.004</v>
      </c>
    </row>
    <row r="14" customFormat="false" ht="15" hidden="false" customHeight="true" outlineLevel="0" collapsed="false">
      <c r="A14" s="20" t="s">
        <v>85</v>
      </c>
    </row>
    <row r="15" customFormat="false" ht="15" hidden="false" customHeight="true" outlineLevel="0" collapsed="false">
      <c r="A15" s="16" t="s">
        <v>86</v>
      </c>
      <c r="B15" s="17" t="n">
        <v>0.0285</v>
      </c>
      <c r="C15" s="17" t="n">
        <v>0.0235</v>
      </c>
      <c r="D15" s="17" t="n">
        <v>0.0285</v>
      </c>
      <c r="E15" s="17" t="n">
        <v>0.0415</v>
      </c>
      <c r="F15" s="17" t="n">
        <v>0.0475</v>
      </c>
      <c r="G15" s="17" t="n">
        <v>0.0515</v>
      </c>
    </row>
    <row r="17" customFormat="false" ht="15" hidden="false" customHeight="true" outlineLevel="0" collapsed="false">
      <c r="A17" s="16" t="s">
        <v>87</v>
      </c>
      <c r="B17" s="17" t="n">
        <v>0.062183375</v>
      </c>
      <c r="C17" s="17" t="n">
        <v>0.0746750000000001</v>
      </c>
      <c r="D17" s="17" t="n">
        <v>0.0562695</v>
      </c>
      <c r="E17" s="17" t="n">
        <v>0.063631875</v>
      </c>
      <c r="F17" s="17" t="n">
        <v>0.0757825000000001</v>
      </c>
      <c r="G17" s="17" t="n">
        <v>0.055706</v>
      </c>
    </row>
    <row r="19" customFormat="false" ht="21.75" hidden="false" customHeight="true" outlineLevel="0" collapsed="false">
      <c r="A19" s="6" t="s">
        <v>88</v>
      </c>
      <c r="B19" s="8"/>
      <c r="C19" s="8"/>
      <c r="D19" s="8"/>
      <c r="E19" s="8"/>
      <c r="F19" s="8"/>
      <c r="G19" s="8"/>
    </row>
    <row r="20" customFormat="false" ht="15" hidden="false" customHeight="true" outlineLevel="0" collapsed="false">
      <c r="A20" s="20" t="s">
        <v>89</v>
      </c>
    </row>
    <row r="21" customFormat="false" ht="15" hidden="false" customHeight="true" outlineLevel="0" collapsed="false">
      <c r="A21" s="20" t="s">
        <v>90</v>
      </c>
    </row>
    <row r="23" customFormat="false" ht="15" hidden="false" customHeight="true" outlineLevel="0" collapsed="false">
      <c r="A23" s="16" t="s">
        <v>68</v>
      </c>
      <c r="B23" s="17" t="n">
        <v>0.05904887625</v>
      </c>
      <c r="C23" s="17" t="n">
        <v>0.07191525</v>
      </c>
      <c r="D23" s="17" t="n">
        <v>0.052957585</v>
      </c>
      <c r="E23" s="17" t="n">
        <v>0.06054083125</v>
      </c>
      <c r="F23" s="17" t="n">
        <v>0.0730559750000001</v>
      </c>
      <c r="G23" s="17" t="n">
        <v>0.05237718</v>
      </c>
    </row>
    <row r="25" customFormat="false" ht="21.75" hidden="false" customHeight="true" outlineLevel="0" collapsed="false">
      <c r="A25" s="6" t="s">
        <v>91</v>
      </c>
      <c r="B25" s="8"/>
      <c r="C25" s="8"/>
      <c r="D25" s="8"/>
      <c r="E25" s="8"/>
      <c r="F25" s="8"/>
      <c r="G25" s="8"/>
    </row>
    <row r="26" customFormat="false" ht="15" hidden="false" customHeight="true" outlineLevel="0" collapsed="false">
      <c r="A26" s="4" t="s">
        <v>92</v>
      </c>
      <c r="B26" s="21" t="n">
        <v>3600.76617925</v>
      </c>
      <c r="C26" s="21" t="n">
        <v>3644.51185</v>
      </c>
      <c r="D26" s="21" t="n">
        <v>3580.055789</v>
      </c>
      <c r="E26" s="21" t="n">
        <v>3605.83882625</v>
      </c>
      <c r="F26" s="21" t="n">
        <v>3648.390315</v>
      </c>
      <c r="G26" s="21" t="n">
        <v>3578.082412</v>
      </c>
    </row>
    <row r="27" customFormat="false" ht="15" hidden="false" customHeight="true" outlineLevel="0" collapsed="false">
      <c r="A27" s="4" t="s">
        <v>93</v>
      </c>
      <c r="B27" s="21" t="n">
        <v>3813.38737577372</v>
      </c>
      <c r="C27" s="21" t="n">
        <v>3906.60783082071</v>
      </c>
      <c r="D27" s="21" t="n">
        <v>3769.64689775071</v>
      </c>
      <c r="E27" s="21" t="n">
        <v>3824.1393061447</v>
      </c>
      <c r="F27" s="21" t="n">
        <v>3914.92702664288</v>
      </c>
      <c r="G27" s="21" t="n">
        <v>3765.49227854816</v>
      </c>
    </row>
    <row r="28" customFormat="false" ht="15" hidden="false" customHeight="true" outlineLevel="0" collapsed="false">
      <c r="A28" s="4" t="s">
        <v>94</v>
      </c>
      <c r="B28" s="21" t="n">
        <v>4038.5636150191</v>
      </c>
      <c r="C28" s="21" t="n">
        <v>4187.55250962614</v>
      </c>
      <c r="D28" s="21" t="n">
        <v>3969.27829375833</v>
      </c>
      <c r="E28" s="21" t="n">
        <v>4055.6558785545</v>
      </c>
      <c r="F28" s="21" t="n">
        <v>4200.93583762813</v>
      </c>
      <c r="G28" s="21" t="n">
        <v>3962.71814541029</v>
      </c>
    </row>
    <row r="29" customFormat="false" ht="15" hidden="false" customHeight="true" outlineLevel="0" collapsed="false">
      <c r="A29" s="4" t="s">
        <v>95</v>
      </c>
      <c r="B29" s="21" t="n">
        <v>4277.03625815011</v>
      </c>
      <c r="C29" s="21" t="n">
        <v>4488.70139524403</v>
      </c>
      <c r="D29" s="21" t="n">
        <v>4179.48168638869</v>
      </c>
      <c r="E29" s="21" t="n">
        <v>4301.18865670614</v>
      </c>
      <c r="F29" s="21" t="n">
        <v>4507.8393011585</v>
      </c>
      <c r="G29" s="21" t="n">
        <v>4170.27414700171</v>
      </c>
    </row>
    <row r="30" customFormat="false" ht="15" hidden="false" customHeight="true" outlineLevel="0" collapsed="false">
      <c r="A30" s="4" t="s">
        <v>96</v>
      </c>
      <c r="B30" s="21" t="n">
        <v>4529.59044287438</v>
      </c>
      <c r="C30" s="21" t="n">
        <v>4811.50747825836</v>
      </c>
      <c r="D30" s="21" t="n">
        <v>4400.81694305156</v>
      </c>
      <c r="E30" s="21" t="n">
        <v>4561.5861933462</v>
      </c>
      <c r="F30" s="21" t="n">
        <v>4837.16389644795</v>
      </c>
      <c r="G30" s="21" t="n">
        <v>4388.70134664856</v>
      </c>
    </row>
    <row r="32" customFormat="false" ht="15" hidden="false" customHeight="true" outlineLevel="0" collapsed="false">
      <c r="A32" s="16" t="s">
        <v>97</v>
      </c>
      <c r="B32" s="22" t="n">
        <v>4529.59044287438</v>
      </c>
      <c r="C32" s="22" t="n">
        <v>4811.50747825836</v>
      </c>
      <c r="D32" s="22" t="n">
        <v>4400.81694305156</v>
      </c>
      <c r="E32" s="22" t="n">
        <v>4561.5861933462</v>
      </c>
      <c r="F32" s="22" t="n">
        <v>4837.16389644795</v>
      </c>
      <c r="G32" s="22" t="n">
        <v>4388.70134664856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5" t="s">
        <v>98</v>
      </c>
      <c r="B1" s="5"/>
      <c r="C1" s="5"/>
    </row>
    <row r="3" customFormat="false" ht="15" hidden="false" customHeight="true" outlineLevel="0" collapsed="false">
      <c r="A3" s="6" t="s">
        <v>99</v>
      </c>
      <c r="B3" s="7" t="s">
        <v>100</v>
      </c>
      <c r="C3" s="6" t="s">
        <v>101</v>
      </c>
    </row>
    <row r="5" customFormat="false" ht="21.75" hidden="false" customHeight="true" outlineLevel="0" collapsed="false">
      <c r="A5" s="6" t="s">
        <v>102</v>
      </c>
      <c r="B5" s="8"/>
      <c r="C5" s="8"/>
    </row>
    <row r="6" customFormat="false" ht="15" hidden="false" customHeight="true" outlineLevel="0" collapsed="false">
      <c r="A6" s="4" t="s">
        <v>103</v>
      </c>
      <c r="B6" s="23" t="n">
        <v>0.043</v>
      </c>
      <c r="C6" s="4" t="s">
        <v>104</v>
      </c>
    </row>
    <row r="7" customFormat="false" ht="15" hidden="false" customHeight="true" outlineLevel="0" collapsed="false">
      <c r="A7" s="4" t="s">
        <v>105</v>
      </c>
      <c r="B7" s="23" t="n">
        <v>0.05</v>
      </c>
      <c r="C7" s="4" t="s">
        <v>106</v>
      </c>
    </row>
    <row r="8" customFormat="false" ht="15" hidden="false" customHeight="true" outlineLevel="0" collapsed="false">
      <c r="A8" s="4" t="s">
        <v>107</v>
      </c>
      <c r="B8" s="24" t="n">
        <v>1.15</v>
      </c>
      <c r="C8" s="4" t="s">
        <v>108</v>
      </c>
    </row>
    <row r="9" customFormat="false" ht="15" hidden="false" customHeight="true" outlineLevel="0" collapsed="false">
      <c r="A9" s="4" t="s">
        <v>109</v>
      </c>
      <c r="B9" s="17" t="n">
        <f aca="false">B6+B8*B7</f>
        <v>0.1005</v>
      </c>
      <c r="C9" s="4" t="s">
        <v>110</v>
      </c>
    </row>
    <row r="11" customFormat="false" ht="21.75" hidden="false" customHeight="true" outlineLevel="0" collapsed="false">
      <c r="A11" s="6" t="s">
        <v>111</v>
      </c>
      <c r="B11" s="8"/>
      <c r="C11" s="8"/>
    </row>
    <row r="12" customFormat="false" ht="15" hidden="false" customHeight="true" outlineLevel="0" collapsed="false">
      <c r="A12" s="4" t="s">
        <v>112</v>
      </c>
      <c r="B12" s="25" t="n">
        <v>0.06</v>
      </c>
      <c r="C12" s="4" t="s">
        <v>113</v>
      </c>
    </row>
    <row r="13" customFormat="false" ht="15" hidden="false" customHeight="true" outlineLevel="0" collapsed="false">
      <c r="A13" s="4" t="s">
        <v>114</v>
      </c>
      <c r="B13" s="26" t="n">
        <v>0.225</v>
      </c>
      <c r="C13" s="4" t="s">
        <v>115</v>
      </c>
    </row>
    <row r="14" customFormat="false" ht="15" hidden="false" customHeight="true" outlineLevel="0" collapsed="false">
      <c r="A14" s="4" t="s">
        <v>116</v>
      </c>
      <c r="B14" s="17" t="n">
        <f aca="false">B12*(1-B13)</f>
        <v>0.0465</v>
      </c>
      <c r="C14" s="4" t="s">
        <v>117</v>
      </c>
    </row>
    <row r="16" customFormat="false" ht="21.75" hidden="false" customHeight="true" outlineLevel="0" collapsed="false">
      <c r="A16" s="6" t="s">
        <v>118</v>
      </c>
      <c r="B16" s="8"/>
      <c r="C16" s="8"/>
    </row>
    <row r="17" customFormat="false" ht="15" hidden="false" customHeight="true" outlineLevel="0" collapsed="false">
      <c r="A17" s="4" t="s">
        <v>119</v>
      </c>
      <c r="B17" s="27" t="n">
        <v>6390</v>
      </c>
      <c r="C17" s="4" t="s">
        <v>120</v>
      </c>
    </row>
    <row r="18" customFormat="false" ht="15" hidden="false" customHeight="true" outlineLevel="0" collapsed="false">
      <c r="A18" s="4" t="s">
        <v>121</v>
      </c>
      <c r="B18" s="27" t="n">
        <v>1260.8</v>
      </c>
      <c r="C18" s="4" t="s">
        <v>122</v>
      </c>
    </row>
    <row r="19" customFormat="false" ht="15" hidden="false" customHeight="true" outlineLevel="0" collapsed="false">
      <c r="A19" s="4" t="s">
        <v>123</v>
      </c>
      <c r="B19" s="22" t="n">
        <f aca="false">B17+B18</f>
        <v>7650.8</v>
      </c>
      <c r="C19" s="4"/>
    </row>
    <row r="20" customFormat="false" ht="15" hidden="false" customHeight="true" outlineLevel="0" collapsed="false">
      <c r="A20" s="4" t="s">
        <v>124</v>
      </c>
      <c r="B20" s="19" t="n">
        <f aca="false">B17/B19</f>
        <v>0.835206775762012</v>
      </c>
      <c r="C20" s="4"/>
    </row>
    <row r="21" customFormat="false" ht="15" hidden="false" customHeight="true" outlineLevel="0" collapsed="false">
      <c r="A21" s="4" t="s">
        <v>125</v>
      </c>
      <c r="B21" s="19" t="n">
        <f aca="false">B18/B19</f>
        <v>0.164793224237988</v>
      </c>
      <c r="C21" s="4"/>
    </row>
    <row r="23" customFormat="false" ht="21.75" hidden="false" customHeight="true" outlineLevel="0" collapsed="false">
      <c r="A23" s="6" t="s">
        <v>126</v>
      </c>
      <c r="B23" s="8"/>
      <c r="C23" s="8"/>
    </row>
    <row r="24" customFormat="false" ht="15" hidden="false" customHeight="true" outlineLevel="0" collapsed="false">
      <c r="A24" s="4" t="s">
        <v>127</v>
      </c>
      <c r="B24" s="17" t="n">
        <f aca="false">B20*B9+B21*B14</f>
        <v>0.0916011658911486</v>
      </c>
      <c r="C24" s="4" t="s">
        <v>128</v>
      </c>
    </row>
    <row r="26" customFormat="false" ht="21.75" hidden="false" customHeight="true" outlineLevel="0" collapsed="false">
      <c r="A26" s="6" t="s">
        <v>129</v>
      </c>
      <c r="B26" s="8"/>
      <c r="C26" s="8"/>
    </row>
    <row r="27" customFormat="false" ht="26.25" hidden="false" customHeight="true" outlineLevel="0" collapsed="false">
      <c r="A27" s="4" t="s">
        <v>73</v>
      </c>
      <c r="B27" s="28" t="n">
        <f aca="false">B24</f>
        <v>0.0916011658911486</v>
      </c>
      <c r="C27" s="4" t="s">
        <v>130</v>
      </c>
    </row>
    <row r="29" customFormat="false" ht="21.75" hidden="false" customHeight="true" outlineLevel="0" collapsed="false">
      <c r="A29" s="6" t="s">
        <v>131</v>
      </c>
      <c r="B29" s="8"/>
      <c r="C29" s="8"/>
    </row>
    <row r="30" customFormat="false" ht="15" hidden="false" customHeight="true" outlineLevel="0" collapsed="false">
      <c r="A30" s="29" t="s">
        <v>132</v>
      </c>
      <c r="B30" s="29"/>
      <c r="C30" s="29"/>
    </row>
    <row r="31" customFormat="false" ht="60" hidden="false" customHeight="true" outlineLevel="0" collapsed="false">
      <c r="A31" s="30" t="s">
        <v>133</v>
      </c>
      <c r="B31" s="30"/>
      <c r="C31" s="30"/>
    </row>
  </sheetData>
  <mergeCells count="3">
    <mergeCell ref="A1:C1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4"/>
  </cols>
  <sheetData>
    <row r="1" customFormat="false" ht="15.75" hidden="false" customHeight="true" outlineLevel="0" collapsed="false">
      <c r="A1" s="5" t="s">
        <v>134</v>
      </c>
      <c r="B1" s="5"/>
      <c r="C1" s="5"/>
      <c r="D1" s="5"/>
      <c r="E1" s="5"/>
      <c r="F1" s="5"/>
      <c r="G1" s="5"/>
    </row>
    <row r="3" customFormat="false" ht="36" hidden="false" customHeight="true" outlineLevel="0" collapsed="false">
      <c r="A3" s="6" t="s">
        <v>135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</row>
    <row r="5" customFormat="false" ht="21.75" hidden="false" customHeight="true" outlineLevel="0" collapsed="false">
      <c r="A5" s="6" t="s">
        <v>136</v>
      </c>
      <c r="B5" s="8"/>
      <c r="C5" s="8"/>
      <c r="D5" s="8"/>
      <c r="E5" s="8"/>
      <c r="F5" s="8"/>
      <c r="G5" s="8"/>
    </row>
    <row r="6" customFormat="false" ht="15" hidden="false" customHeight="true" outlineLevel="0" collapsed="false">
      <c r="A6" s="4" t="s">
        <v>137</v>
      </c>
      <c r="B6" s="21" t="n">
        <v>4529.59044287438</v>
      </c>
      <c r="C6" s="21" t="n">
        <v>4811.50747825836</v>
      </c>
      <c r="D6" s="21" t="n">
        <v>4400.81694305156</v>
      </c>
      <c r="E6" s="21" t="n">
        <v>4561.5861933462</v>
      </c>
      <c r="F6" s="31" t="n">
        <v>4837.16389644795</v>
      </c>
      <c r="G6" s="32" t="n">
        <v>4388.70134664856</v>
      </c>
    </row>
    <row r="7" customFormat="false" ht="15" hidden="false" customHeight="true" outlineLevel="0" collapsed="false">
      <c r="A7" s="4" t="s">
        <v>138</v>
      </c>
      <c r="B7" s="18" t="n">
        <v>0.151</v>
      </c>
      <c r="C7" s="33" t="n">
        <v>0.156</v>
      </c>
      <c r="D7" s="33" t="n">
        <v>0.156</v>
      </c>
      <c r="E7" s="18" t="n">
        <v>0.121</v>
      </c>
      <c r="F7" s="18" t="n">
        <v>0.121</v>
      </c>
      <c r="G7" s="34" t="n">
        <v>0.076</v>
      </c>
    </row>
    <row r="8" customFormat="false" ht="15" hidden="false" customHeight="true" outlineLevel="0" collapsed="false">
      <c r="A8" s="4" t="s">
        <v>139</v>
      </c>
      <c r="B8" s="21" t="n">
        <v>683.968156874031</v>
      </c>
      <c r="C8" s="21" t="n">
        <v>750.595166608304</v>
      </c>
      <c r="D8" s="21" t="n">
        <v>686.527443116044</v>
      </c>
      <c r="E8" s="21" t="n">
        <v>551.95192939489</v>
      </c>
      <c r="F8" s="21" t="n">
        <v>585.296831470202</v>
      </c>
      <c r="G8" s="21" t="n">
        <v>333.541302345291</v>
      </c>
    </row>
    <row r="9" customFormat="false" ht="15" hidden="false" customHeight="true" outlineLevel="0" collapsed="false">
      <c r="A9" s="4" t="s">
        <v>140</v>
      </c>
      <c r="B9" s="21" t="n">
        <v>543.664092905997</v>
      </c>
      <c r="C9" s="31" t="n">
        <v>596.14577655621</v>
      </c>
      <c r="D9" s="21" t="n">
        <v>545.261219244088</v>
      </c>
      <c r="E9" s="21" t="n">
        <v>441.447503861078</v>
      </c>
      <c r="F9" s="21" t="n">
        <v>323.001619185312</v>
      </c>
      <c r="G9" s="32" t="n">
        <v>271.660613357546</v>
      </c>
    </row>
    <row r="11" customFormat="false" ht="21.75" hidden="false" customHeight="true" outlineLevel="0" collapsed="false">
      <c r="A11" s="6" t="s">
        <v>141</v>
      </c>
      <c r="B11" s="8"/>
      <c r="C11" s="8"/>
      <c r="D11" s="8"/>
      <c r="E11" s="8"/>
      <c r="F11" s="8"/>
      <c r="G11" s="8"/>
    </row>
    <row r="12" customFormat="false" ht="15" hidden="false" customHeight="true" outlineLevel="0" collapsed="false">
      <c r="A12" s="4" t="s">
        <v>142</v>
      </c>
      <c r="B12" s="9" t="n">
        <v>0.0916011658911486</v>
      </c>
      <c r="C12" s="9" t="n">
        <v>0.0916011658911486</v>
      </c>
      <c r="D12" s="9" t="n">
        <v>0.0916011658911486</v>
      </c>
      <c r="E12" s="9" t="n">
        <v>0.0916011658911486</v>
      </c>
      <c r="F12" s="9" t="n">
        <v>0.0916011658911486</v>
      </c>
      <c r="G12" s="9" t="n">
        <v>0.0916011658911486</v>
      </c>
    </row>
    <row r="13" customFormat="false" ht="15" hidden="false" customHeight="true" outlineLevel="0" collapsed="false">
      <c r="A13" s="4" t="s">
        <v>75</v>
      </c>
      <c r="B13" s="9" t="n">
        <v>0.025</v>
      </c>
      <c r="C13" s="10" t="n">
        <v>0.0275</v>
      </c>
      <c r="D13" s="9" t="n">
        <v>0.0225</v>
      </c>
      <c r="E13" s="9" t="n">
        <v>0.0225</v>
      </c>
      <c r="F13" s="11" t="n">
        <v>0.0175</v>
      </c>
      <c r="G13" s="9" t="n">
        <v>0.0225</v>
      </c>
    </row>
    <row r="15" customFormat="false" ht="21.75" hidden="false" customHeight="true" outlineLevel="0" collapsed="false">
      <c r="A15" s="6" t="s">
        <v>143</v>
      </c>
      <c r="B15" s="8"/>
      <c r="C15" s="8"/>
      <c r="D15" s="8"/>
      <c r="E15" s="8"/>
      <c r="F15" s="8"/>
      <c r="G15" s="8"/>
    </row>
    <row r="16" customFormat="false" ht="15" hidden="false" customHeight="true" outlineLevel="0" collapsed="false">
      <c r="A16" s="4" t="s">
        <v>144</v>
      </c>
      <c r="B16" s="21" t="n">
        <v>1896.81090280516</v>
      </c>
      <c r="C16" s="21" t="n">
        <v>2031.44174285237</v>
      </c>
      <c r="D16" s="21" t="n">
        <v>1930.43805183542</v>
      </c>
      <c r="E16" s="21" t="n">
        <v>1509.59811699014</v>
      </c>
      <c r="F16" s="21" t="n">
        <v>1035.67601936133</v>
      </c>
      <c r="G16" s="21" t="n">
        <v>896.448845262115</v>
      </c>
    </row>
    <row r="17" customFormat="false" ht="15" hidden="false" customHeight="true" outlineLevel="0" collapsed="false">
      <c r="A17" s="4" t="s">
        <v>145</v>
      </c>
      <c r="B17" s="21" t="n">
        <v>8367.05615843742</v>
      </c>
      <c r="C17" s="21" t="n">
        <v>9555.82908510075</v>
      </c>
      <c r="D17" s="21" t="n">
        <v>8068.30955002014</v>
      </c>
      <c r="E17" s="21" t="n">
        <v>6532.16290748245</v>
      </c>
      <c r="F17" s="21" t="n">
        <v>4435.20886032797</v>
      </c>
      <c r="G17" s="21" t="n">
        <v>4019.80159923281</v>
      </c>
    </row>
    <row r="18" customFormat="false" ht="15" hidden="false" customHeight="true" outlineLevel="0" collapsed="false">
      <c r="A18" s="4" t="s">
        <v>146</v>
      </c>
      <c r="B18" s="21" t="n">
        <v>5234.70568336048</v>
      </c>
      <c r="C18" s="21" t="n">
        <v>5978.44114749434</v>
      </c>
      <c r="D18" s="21" t="n">
        <v>5047.79997371138</v>
      </c>
      <c r="E18" s="21" t="n">
        <v>4086.73608123848</v>
      </c>
      <c r="F18" s="21" t="n">
        <v>2774.81262088068</v>
      </c>
      <c r="G18" s="21" t="n">
        <v>2514.92016774216</v>
      </c>
    </row>
    <row r="19" customFormat="false" ht="15" hidden="false" customHeight="true" outlineLevel="0" collapsed="false">
      <c r="A19" s="16" t="s">
        <v>147</v>
      </c>
      <c r="B19" s="22" t="n">
        <v>7131.51658616563</v>
      </c>
      <c r="C19" s="22" t="n">
        <v>8009.88289034672</v>
      </c>
      <c r="D19" s="22" t="n">
        <v>6978.2380255468</v>
      </c>
      <c r="E19" s="22" t="n">
        <v>5596.33419822862</v>
      </c>
      <c r="F19" s="22" t="n">
        <v>3810.48864024201</v>
      </c>
      <c r="G19" s="22" t="n">
        <v>3411.36901300427</v>
      </c>
    </row>
    <row r="20" customFormat="false" ht="15" hidden="false" customHeight="true" outlineLevel="0" collapsed="false">
      <c r="A20" s="4" t="s">
        <v>148</v>
      </c>
      <c r="B20" s="18" t="n">
        <v>0.73402418968151</v>
      </c>
      <c r="C20" s="18" t="n">
        <v>0.746383090656593</v>
      </c>
      <c r="D20" s="18" t="n">
        <v>0.723363111896121</v>
      </c>
      <c r="E20" s="18" t="n">
        <v>0.730252328842698</v>
      </c>
      <c r="F20" s="18" t="n">
        <v>0.728203882194081</v>
      </c>
      <c r="G20" s="18" t="n">
        <v>0.737217274987017</v>
      </c>
    </row>
    <row r="22" customFormat="false" ht="21.75" hidden="false" customHeight="true" outlineLevel="0" collapsed="false">
      <c r="A22" s="6" t="s">
        <v>149</v>
      </c>
      <c r="B22" s="8"/>
      <c r="C22" s="8"/>
      <c r="D22" s="8"/>
      <c r="E22" s="8"/>
      <c r="F22" s="8"/>
      <c r="G22" s="8"/>
    </row>
    <row r="23" customFormat="false" ht="15" hidden="false" customHeight="true" outlineLevel="0" collapsed="false">
      <c r="A23" s="4" t="s">
        <v>150</v>
      </c>
      <c r="B23" s="21" t="n">
        <v>-1280.67671232877</v>
      </c>
      <c r="C23" s="21" t="n">
        <v>-1280.67671232877</v>
      </c>
      <c r="D23" s="21" t="n">
        <v>-1280.67671232877</v>
      </c>
      <c r="E23" s="21" t="n">
        <v>-1280.67671232877</v>
      </c>
      <c r="F23" s="21" t="n">
        <v>-1280.67671232877</v>
      </c>
      <c r="G23" s="21" t="n">
        <v>-1280.67671232877</v>
      </c>
    </row>
    <row r="24" customFormat="false" ht="15" hidden="false" customHeight="true" outlineLevel="0" collapsed="false">
      <c r="A24" s="4" t="s">
        <v>151</v>
      </c>
      <c r="B24" s="21" t="n">
        <v>-144.9</v>
      </c>
      <c r="C24" s="21" t="n">
        <v>-144.9</v>
      </c>
      <c r="D24" s="21" t="n">
        <v>-144.9</v>
      </c>
      <c r="E24" s="21" t="n">
        <v>-144.9</v>
      </c>
      <c r="F24" s="21" t="n">
        <v>-144.9</v>
      </c>
      <c r="G24" s="21" t="n">
        <v>-144.9</v>
      </c>
    </row>
    <row r="25" customFormat="false" ht="15" hidden="false" customHeight="true" outlineLevel="0" collapsed="false">
      <c r="A25" s="16" t="s">
        <v>152</v>
      </c>
      <c r="B25" s="22" t="n">
        <v>5705.93987383687</v>
      </c>
      <c r="C25" s="22" t="n">
        <v>6584.30617801795</v>
      </c>
      <c r="D25" s="22" t="n">
        <v>5552.66131321803</v>
      </c>
      <c r="E25" s="22" t="n">
        <v>4170.75748589986</v>
      </c>
      <c r="F25" s="22" t="n">
        <v>2384.91192791324</v>
      </c>
      <c r="G25" s="22" t="n">
        <v>1985.79230067551</v>
      </c>
    </row>
    <row r="27" customFormat="false" ht="21.75" hidden="false" customHeight="true" outlineLevel="0" collapsed="false">
      <c r="A27" s="6" t="s">
        <v>153</v>
      </c>
      <c r="B27" s="8"/>
      <c r="C27" s="8"/>
      <c r="D27" s="8"/>
      <c r="E27" s="8"/>
      <c r="F27" s="8"/>
      <c r="G27" s="8"/>
    </row>
    <row r="28" customFormat="false" ht="17.25" hidden="false" customHeight="true" outlineLevel="0" collapsed="false">
      <c r="A28" s="16" t="s">
        <v>154</v>
      </c>
      <c r="B28" s="35" t="n">
        <v>3.22369484397563</v>
      </c>
      <c r="C28" s="35" t="n">
        <v>3.71994699323048</v>
      </c>
      <c r="D28" s="35" t="n">
        <v>3.13709678712883</v>
      </c>
      <c r="E28" s="35" t="n">
        <v>2.35636016152534</v>
      </c>
      <c r="F28" s="35" t="n">
        <v>1.34740786887754</v>
      </c>
      <c r="G28" s="35" t="n">
        <v>1.12191655405396</v>
      </c>
    </row>
    <row r="29" customFormat="false" ht="15" hidden="false" customHeight="true" outlineLevel="0" collapsed="false">
      <c r="A29" s="4" t="s">
        <v>155</v>
      </c>
      <c r="B29" s="18" t="n">
        <v>-0.107009738510906</v>
      </c>
      <c r="C29" s="33" t="n">
        <v>0.0304562308117671</v>
      </c>
      <c r="D29" s="18" t="n">
        <v>-0.130998119908911</v>
      </c>
      <c r="E29" s="18" t="n">
        <v>-0.34726865331708</v>
      </c>
      <c r="F29" s="18" t="n">
        <v>-0.626756823025613</v>
      </c>
      <c r="G29" s="34" t="n">
        <v>-0.689219791120787</v>
      </c>
    </row>
    <row r="30" customFormat="false" ht="15" hidden="false" customHeight="true" outlineLevel="0" collapsed="false">
      <c r="A30" s="4" t="s">
        <v>156</v>
      </c>
      <c r="B30" s="18" t="n">
        <v>0</v>
      </c>
      <c r="C30" s="33" t="n">
        <v>0.153938934444193</v>
      </c>
      <c r="D30" s="18" t="n">
        <v>-0.0268629820867293</v>
      </c>
      <c r="E30" s="18" t="n">
        <v>-0.269049871166046</v>
      </c>
      <c r="F30" s="18" t="n">
        <v>-0.582029958140875</v>
      </c>
      <c r="G30" s="34" t="n">
        <v>-0.651978053645316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4"/>
  </cols>
  <sheetData>
    <row r="1" customFormat="false" ht="15.75" hidden="false" customHeight="true" outlineLevel="0" collapsed="false">
      <c r="A1" s="5" t="s">
        <v>157</v>
      </c>
      <c r="B1" s="5"/>
      <c r="C1" s="5"/>
      <c r="D1" s="5"/>
      <c r="E1" s="5"/>
      <c r="F1" s="5"/>
      <c r="G1" s="5"/>
    </row>
    <row r="3" customFormat="false" ht="36" hidden="false" customHeight="true" outlineLevel="0" collapsed="false">
      <c r="A3" s="36" t="s">
        <v>99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</row>
    <row r="5" customFormat="false" ht="21.75" hidden="false" customHeight="true" outlineLevel="0" collapsed="false">
      <c r="A5" s="6" t="s">
        <v>158</v>
      </c>
      <c r="B5" s="8"/>
      <c r="C5" s="8"/>
      <c r="D5" s="8"/>
      <c r="E5" s="8"/>
      <c r="F5" s="8"/>
      <c r="G5" s="8"/>
    </row>
    <row r="6" customFormat="false" ht="15" hidden="false" customHeight="true" outlineLevel="0" collapsed="false">
      <c r="A6" s="16" t="s">
        <v>159</v>
      </c>
      <c r="B6" s="37" t="n">
        <v>3.22369484397563</v>
      </c>
      <c r="C6" s="37" t="n">
        <v>3.71994699323048</v>
      </c>
      <c r="D6" s="37" t="n">
        <v>3.13709678712883</v>
      </c>
      <c r="E6" s="37" t="n">
        <v>2.35636016152534</v>
      </c>
      <c r="F6" s="37" t="n">
        <v>1.34740786887754</v>
      </c>
      <c r="G6" s="37" t="n">
        <v>1.12191655405396</v>
      </c>
    </row>
    <row r="7" customFormat="false" ht="15" hidden="false" customHeight="true" outlineLevel="0" collapsed="false">
      <c r="A7" s="4" t="s">
        <v>160</v>
      </c>
      <c r="B7" s="38" t="n">
        <v>0</v>
      </c>
      <c r="C7" s="38" t="n">
        <v>0.496252149254849</v>
      </c>
      <c r="D7" s="38" t="n">
        <v>-0.0865980568467992</v>
      </c>
      <c r="E7" s="38" t="n">
        <v>-0.867334682450289</v>
      </c>
      <c r="F7" s="38" t="n">
        <v>-1.87628697509809</v>
      </c>
      <c r="G7" s="38" t="n">
        <v>-2.10177828992167</v>
      </c>
    </row>
    <row r="8" customFormat="false" ht="15" hidden="false" customHeight="true" outlineLevel="0" collapsed="false">
      <c r="A8" s="4" t="s">
        <v>161</v>
      </c>
      <c r="B8" s="18" t="n">
        <v>0</v>
      </c>
      <c r="C8" s="18" t="n">
        <v>0.153938934444193</v>
      </c>
      <c r="D8" s="18" t="n">
        <v>-0.0268629820867293</v>
      </c>
      <c r="E8" s="18" t="n">
        <v>-0.269049871166046</v>
      </c>
      <c r="F8" s="18" t="n">
        <v>-0.582029958140875</v>
      </c>
      <c r="G8" s="18" t="n">
        <v>-0.651978053645316</v>
      </c>
    </row>
    <row r="10" customFormat="false" ht="21.75" hidden="false" customHeight="true" outlineLevel="0" collapsed="false">
      <c r="A10" s="6" t="s">
        <v>162</v>
      </c>
      <c r="B10" s="8"/>
      <c r="C10" s="8"/>
      <c r="D10" s="8"/>
      <c r="E10" s="8"/>
      <c r="F10" s="8"/>
      <c r="G10" s="8"/>
    </row>
    <row r="11" customFormat="false" ht="15" hidden="false" customHeight="true" outlineLevel="0" collapsed="false">
      <c r="A11" s="4" t="s">
        <v>163</v>
      </c>
      <c r="B11" s="38" t="n">
        <v>3.61</v>
      </c>
      <c r="C11" s="38" t="n">
        <v>3.61</v>
      </c>
      <c r="D11" s="38" t="n">
        <v>3.61</v>
      </c>
      <c r="E11" s="38" t="n">
        <v>3.61</v>
      </c>
      <c r="F11" s="38" t="n">
        <v>3.61</v>
      </c>
      <c r="G11" s="38" t="n">
        <v>3.61</v>
      </c>
    </row>
    <row r="12" customFormat="false" ht="15" hidden="false" customHeight="true" outlineLevel="0" collapsed="false">
      <c r="A12" s="4" t="s">
        <v>164</v>
      </c>
      <c r="B12" s="18" t="n">
        <v>0.892990261489094</v>
      </c>
      <c r="C12" s="18" t="n">
        <v>1.03045623081177</v>
      </c>
      <c r="D12" s="18" t="n">
        <v>0.869001880091089</v>
      </c>
      <c r="E12" s="18" t="n">
        <v>0.65273134668292</v>
      </c>
      <c r="F12" s="18" t="n">
        <v>0.373243176974387</v>
      </c>
      <c r="G12" s="18" t="n">
        <v>0.310780208879213</v>
      </c>
    </row>
    <row r="13" customFormat="false" ht="15" hidden="false" customHeight="true" outlineLevel="0" collapsed="false">
      <c r="A13" s="4" t="s">
        <v>165</v>
      </c>
      <c r="B13" s="18" t="n">
        <v>-0.107009738510906</v>
      </c>
      <c r="C13" s="33" t="n">
        <v>0.0304562308117671</v>
      </c>
      <c r="D13" s="18" t="n">
        <v>-0.130998119908911</v>
      </c>
      <c r="E13" s="18" t="n">
        <v>-0.34726865331708</v>
      </c>
      <c r="F13" s="18" t="n">
        <v>-0.626756823025613</v>
      </c>
      <c r="G13" s="34" t="n">
        <v>-0.689219791120787</v>
      </c>
    </row>
    <row r="15" customFormat="false" ht="21.75" hidden="false" customHeight="true" outlineLevel="0" collapsed="false">
      <c r="A15" s="6" t="s">
        <v>166</v>
      </c>
      <c r="B15" s="8"/>
      <c r="C15" s="8"/>
      <c r="D15" s="8"/>
      <c r="E15" s="8"/>
      <c r="F15" s="8"/>
      <c r="G15" s="8"/>
    </row>
    <row r="16" customFormat="false" ht="15" hidden="false" customHeight="true" outlineLevel="0" collapsed="false">
      <c r="A16" s="20" t="s">
        <v>167</v>
      </c>
      <c r="B16" s="39" t="n">
        <v>0.496252149254849</v>
      </c>
    </row>
    <row r="17" customFormat="false" ht="15" hidden="false" customHeight="true" outlineLevel="0" collapsed="false">
      <c r="A17" s="20" t="s">
        <v>168</v>
      </c>
      <c r="B17" s="39" t="n">
        <v>2.10177828992167</v>
      </c>
    </row>
    <row r="18" customFormat="false" ht="15" hidden="false" customHeight="true" outlineLevel="0" collapsed="false">
      <c r="A18" s="3" t="s">
        <v>169</v>
      </c>
      <c r="B18" s="40" t="n">
        <v>4.2353031479614</v>
      </c>
    </row>
    <row r="19" customFormat="false" ht="36" hidden="false" customHeight="true" outlineLevel="0" collapsed="false">
      <c r="A19" s="30" t="s">
        <v>170</v>
      </c>
      <c r="B19" s="30"/>
      <c r="C19" s="30"/>
      <c r="D19" s="30"/>
      <c r="E19" s="30"/>
      <c r="F19" s="30"/>
      <c r="G19" s="30"/>
    </row>
  </sheetData>
  <mergeCells count="2">
    <mergeCell ref="A1:G1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4"/>
  </cols>
  <sheetData>
    <row r="1" customFormat="false" ht="15.75" hidden="false" customHeight="true" outlineLevel="0" collapsed="false">
      <c r="A1" s="5" t="s">
        <v>171</v>
      </c>
      <c r="B1" s="5"/>
      <c r="C1" s="5"/>
      <c r="D1" s="5"/>
      <c r="E1" s="5"/>
      <c r="F1" s="5"/>
      <c r="G1" s="5"/>
    </row>
    <row r="3" customFormat="false" ht="36" hidden="false" customHeight="true" outlineLevel="0" collapsed="false">
      <c r="A3" s="36" t="s">
        <v>172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</row>
    <row r="5" customFormat="false" ht="21.75" hidden="false" customHeight="true" outlineLevel="0" collapsed="false">
      <c r="A5" s="6" t="s">
        <v>173</v>
      </c>
      <c r="B5" s="8"/>
      <c r="C5" s="8"/>
      <c r="D5" s="8"/>
      <c r="E5" s="8"/>
      <c r="F5" s="8"/>
      <c r="G5" s="8"/>
    </row>
    <row r="6" customFormat="false" ht="15" hidden="false" customHeight="true" outlineLevel="0" collapsed="false">
      <c r="A6" s="4" t="s">
        <v>174</v>
      </c>
      <c r="B6" s="9" t="n">
        <v>0.0916011658911486</v>
      </c>
      <c r="C6" s="9" t="n">
        <v>0.0816011658911486</v>
      </c>
      <c r="D6" s="9" t="n">
        <v>0.0941011658911486</v>
      </c>
      <c r="E6" s="9" t="n">
        <v>0.109101165891149</v>
      </c>
      <c r="F6" s="9" t="n">
        <v>0.101601165891149</v>
      </c>
      <c r="G6" s="9" t="n">
        <v>0.119101165891149</v>
      </c>
    </row>
    <row r="7" customFormat="false" ht="15" hidden="false" customHeight="true" outlineLevel="0" collapsed="false">
      <c r="A7" s="4" t="s">
        <v>175</v>
      </c>
      <c r="B7" s="9" t="n">
        <v>0.0916011658911486</v>
      </c>
      <c r="C7" s="9" t="n">
        <v>0.0916011658911486</v>
      </c>
      <c r="D7" s="9" t="n">
        <v>0.0916011658911486</v>
      </c>
      <c r="E7" s="9" t="n">
        <v>0.0916011658911486</v>
      </c>
      <c r="F7" s="9" t="n">
        <v>0.0916011658911486</v>
      </c>
      <c r="G7" s="9" t="n">
        <v>0.0916011658911486</v>
      </c>
    </row>
    <row r="8" customFormat="false" ht="15" hidden="false" customHeight="true" outlineLevel="0" collapsed="false">
      <c r="A8" s="4" t="s">
        <v>176</v>
      </c>
      <c r="B8" s="9" t="n">
        <v>0</v>
      </c>
      <c r="C8" s="9" t="n">
        <v>0.01</v>
      </c>
      <c r="D8" s="9" t="n">
        <v>-0.0025</v>
      </c>
      <c r="E8" s="9" t="n">
        <v>-0.0175</v>
      </c>
      <c r="F8" s="9" t="n">
        <v>-0.01</v>
      </c>
      <c r="G8" s="9" t="n">
        <v>-0.0275</v>
      </c>
    </row>
    <row r="10" customFormat="false" ht="21.75" hidden="false" customHeight="true" outlineLevel="0" collapsed="false">
      <c r="A10" s="6" t="s">
        <v>177</v>
      </c>
      <c r="B10" s="8"/>
      <c r="C10" s="8"/>
      <c r="D10" s="8"/>
      <c r="E10" s="8"/>
      <c r="F10" s="8"/>
      <c r="G10" s="8"/>
    </row>
    <row r="11" customFormat="false" ht="15" hidden="false" customHeight="true" outlineLevel="0" collapsed="false">
      <c r="A11" s="4" t="s">
        <v>174</v>
      </c>
      <c r="B11" s="38" t="n">
        <v>3.22369484397563</v>
      </c>
      <c r="C11" s="38" t="n">
        <v>4.57578868126963</v>
      </c>
      <c r="D11" s="38" t="n">
        <v>2.99730958069929</v>
      </c>
      <c r="E11" s="38" t="n">
        <v>1.70311616836671</v>
      </c>
      <c r="F11" s="38" t="n">
        <v>1.08021879676383</v>
      </c>
      <c r="G11" s="38" t="n">
        <v>0.556558847557133</v>
      </c>
    </row>
    <row r="12" customFormat="false" ht="15" hidden="false" customHeight="true" outlineLevel="0" collapsed="false">
      <c r="A12" s="16" t="s">
        <v>175</v>
      </c>
      <c r="B12" s="37" t="n">
        <v>3.22369484397563</v>
      </c>
      <c r="C12" s="37" t="n">
        <v>3.71994699323048</v>
      </c>
      <c r="D12" s="37" t="n">
        <v>3.13709678712883</v>
      </c>
      <c r="E12" s="37" t="n">
        <v>2.35636016152534</v>
      </c>
      <c r="F12" s="37" t="n">
        <v>1.34740786887754</v>
      </c>
      <c r="G12" s="37" t="n">
        <v>1.12191655405396</v>
      </c>
    </row>
    <row r="13" customFormat="false" ht="15" hidden="false" customHeight="true" outlineLevel="0" collapsed="false">
      <c r="A13" s="4" t="s">
        <v>178</v>
      </c>
      <c r="B13" s="38" t="n">
        <v>0</v>
      </c>
      <c r="C13" s="41" t="n">
        <v>-0.855841688039154</v>
      </c>
      <c r="D13" s="38" t="n">
        <v>0.139787206429537</v>
      </c>
      <c r="E13" s="42" t="n">
        <v>0.653243993158635</v>
      </c>
      <c r="F13" s="38" t="n">
        <v>0.267189072113708</v>
      </c>
      <c r="G13" s="38" t="n">
        <v>0.565357706496826</v>
      </c>
    </row>
    <row r="14" customFormat="false" ht="15" hidden="false" customHeight="true" outlineLevel="0" collapsed="false">
      <c r="A14" s="4" t="s">
        <v>179</v>
      </c>
      <c r="B14" s="18" t="n">
        <v>0</v>
      </c>
      <c r="C14" s="18" t="n">
        <v>-0.187036978246488</v>
      </c>
      <c r="D14" s="18" t="n">
        <v>0.0466375603406718</v>
      </c>
      <c r="E14" s="18" t="n">
        <v>0.383558095032999</v>
      </c>
      <c r="F14" s="18" t="n">
        <v>0.247347179029069</v>
      </c>
      <c r="G14" s="18" t="n">
        <v>1.01580939549935</v>
      </c>
    </row>
    <row r="16" customFormat="false" ht="21.75" hidden="false" customHeight="true" outlineLevel="0" collapsed="false">
      <c r="A16" s="6" t="s">
        <v>180</v>
      </c>
      <c r="B16" s="8"/>
      <c r="C16" s="8"/>
      <c r="D16" s="8"/>
      <c r="E16" s="8"/>
      <c r="F16" s="8"/>
      <c r="G16" s="8"/>
    </row>
    <row r="17" customFormat="false" ht="15" hidden="false" customHeight="true" outlineLevel="0" collapsed="false">
      <c r="A17" s="20" t="s">
        <v>181</v>
      </c>
      <c r="B17" s="39" t="n">
        <v>4.0192298337125</v>
      </c>
    </row>
    <row r="18" customFormat="false" ht="15" hidden="false" customHeight="true" outlineLevel="0" collapsed="false">
      <c r="A18" s="20" t="s">
        <v>182</v>
      </c>
      <c r="B18" s="39" t="n">
        <v>2.59803043917652</v>
      </c>
    </row>
    <row r="19" customFormat="false" ht="15" hidden="false" customHeight="true" outlineLevel="0" collapsed="false">
      <c r="A19" s="3" t="s">
        <v>183</v>
      </c>
      <c r="B19" s="43" t="n">
        <v>-0.353599931662341</v>
      </c>
    </row>
    <row r="21" customFormat="false" ht="60" hidden="false" customHeight="true" outlineLevel="0" collapsed="false">
      <c r="A21" s="30" t="s">
        <v>184</v>
      </c>
      <c r="B21" s="30"/>
      <c r="C21" s="30"/>
      <c r="D21" s="30"/>
      <c r="E21" s="30"/>
      <c r="F21" s="30"/>
      <c r="G21" s="30"/>
    </row>
  </sheetData>
  <mergeCells count="2">
    <mergeCell ref="A1:G1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5.75" hidden="false" customHeight="true" outlineLevel="0" collapsed="false">
      <c r="A1" s="5" t="s">
        <v>185</v>
      </c>
      <c r="B1" s="5"/>
    </row>
    <row r="3" customFormat="false" ht="15" hidden="false" customHeight="true" outlineLevel="0" collapsed="false">
      <c r="A3" s="36" t="s">
        <v>186</v>
      </c>
      <c r="B3" s="36" t="s">
        <v>187</v>
      </c>
    </row>
    <row r="4" customFormat="false" ht="54.75" hidden="false" customHeight="true" outlineLevel="0" collapsed="false">
      <c r="A4" s="16" t="s">
        <v>188</v>
      </c>
      <c r="B4" s="4" t="s">
        <v>189</v>
      </c>
    </row>
    <row r="5" customFormat="false" ht="54.75" hidden="false" customHeight="true" outlineLevel="0" collapsed="false">
      <c r="A5" s="16" t="s">
        <v>190</v>
      </c>
      <c r="B5" s="4" t="s">
        <v>191</v>
      </c>
    </row>
    <row r="6" customFormat="false" ht="54.75" hidden="false" customHeight="true" outlineLevel="0" collapsed="false">
      <c r="A6" s="16" t="s">
        <v>192</v>
      </c>
      <c r="B6" s="4" t="s">
        <v>193</v>
      </c>
    </row>
    <row r="7" customFormat="false" ht="54.75" hidden="false" customHeight="true" outlineLevel="0" collapsed="false">
      <c r="A7" s="16" t="s">
        <v>194</v>
      </c>
      <c r="B7" s="4" t="s">
        <v>195</v>
      </c>
    </row>
    <row r="8" customFormat="false" ht="54.75" hidden="false" customHeight="true" outlineLevel="0" collapsed="false">
      <c r="A8" s="16" t="s">
        <v>196</v>
      </c>
      <c r="B8" s="4" t="s">
        <v>197</v>
      </c>
    </row>
    <row r="9" customFormat="false" ht="54.75" hidden="false" customHeight="true" outlineLevel="0" collapsed="false">
      <c r="A9" s="16" t="s">
        <v>198</v>
      </c>
      <c r="B9" s="4" t="s">
        <v>199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2026-05-28T02:14:22Z</dcterms:created>
  <dc:creator>openpyxl</dc:creator>
  <dc:description/>
  <dc:language>en-US</dc:language>
  <cp:lastModifiedBy/>
  <dcterms:modified xsi:type="dcterms:W3CDTF">2026-05-28T02:14:44Z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