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puts" sheetId="2" state="visible" r:id="rId4"/>
    <sheet name="WACC" sheetId="3" state="visible" r:id="rId5"/>
    <sheet name="DCF Outputs" sheetId="4" state="visible" r:id="rId6"/>
    <sheet name="Roll-off impact" sheetId="5" state="visible" r:id="rId7"/>
    <sheet name="Scenario Rationale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<sst xmlns="http://schemas.openxmlformats.org/spreadsheetml/2006/main" count="153" uniqueCount="135">
  <si>
    <t xml:space="preserve">DNL Scenario Comparison v3 — single-WACC + gas roll-off overlay (29 May 2026)</t>
  </si>
  <si>
    <t xml:space="preserve">What's new in v3:</t>
  </si>
  <si>
    <t xml:space="preserve">Gas-contract roll-off overlay added to the margin glide path (DNL-specific structural headwind).</t>
  </si>
  <si>
    <t xml:space="preserve">Rationale:</t>
  </si>
  <si>
    <t xml:space="preserve">DNL's US gas contracts insulate ~70% of US gas exposure today; concentrated roll-off in the 2028-2030 window (Y3-Y5 of our explicit forecast). Loss of contracted gas pricing =&gt; margin compression. Previously this was narrative-only; v3 builds it into the cash-flow path per the substack discipline of 'building risk into cash flows, not into terminal-state hand-waves'.</t>
  </si>
  <si>
    <t xml:space="preserve">Numerical overlay applied:</t>
  </si>
  <si>
    <t xml:space="preserve">  FY27 (Y1):</t>
  </si>
  <si>
    <t xml:space="preserve">0bps (contracts still in place)</t>
  </si>
  <si>
    <t xml:space="preserve">  FY28 (Y2):</t>
  </si>
  <si>
    <t xml:space="preserve">  FY29 (Y3):</t>
  </si>
  <si>
    <t xml:space="preserve">-50bps cumulative</t>
  </si>
  <si>
    <t xml:space="preserve">  FY30 (Y4):</t>
  </si>
  <si>
    <t xml:space="preserve">-100bps cumulative</t>
  </si>
  <si>
    <t xml:space="preserve">  FY31 (Y5):</t>
  </si>
  <si>
    <t xml:space="preserve">-150bps cumulative</t>
  </si>
  <si>
    <t xml:space="preserve">Net margin path (Muddle Through):</t>
  </si>
  <si>
    <t xml:space="preserve">FY27 13.9% -&gt; FY28 14.9% -&gt; FY29 14.6% -&gt; FY30 14.1% -&gt; FY31 13.6%</t>
  </si>
  <si>
    <t xml:space="preserve">Compare prior (v2, no roll-off):</t>
  </si>
  <si>
    <t xml:space="preserve">FY27 13.9% -&gt; FY28 14.9% -&gt; FY29 15.1% -&gt; FY30 15.1% -&gt; FY31 15.1%</t>
  </si>
  <si>
    <t xml:space="preserve">WACC applied to all scenarios:</t>
  </si>
  <si>
    <t xml:space="preserve">9.16% (single-WACC discipline per methodology section 3.5)</t>
  </si>
  <si>
    <t xml:space="preserve">Flat across scenarios for now:</t>
  </si>
  <si>
    <t xml:space="preserve">Future refinement could make the roll-off scenario-conditional (bigger drag under high-gas scenarios like Stagflation/Disorderly Climate; smaller under Orderly Convergence). Roughly flat impact for this iteration (~-30c/share across all scenarios).</t>
  </si>
  <si>
    <t xml:space="preserve">Tabs:</t>
  </si>
  <si>
    <t xml:space="preserve">  Inputs</t>
  </si>
  <si>
    <t xml:space="preserve">Scenario macro + scenario deltas + margin path comparison</t>
  </si>
  <si>
    <t xml:space="preserve">  WACC</t>
  </si>
  <si>
    <t xml:space="preserve">Constant 9.16% applied to all scenarios; user-override mechanism</t>
  </si>
  <si>
    <t xml:space="preserve">  DCF Outputs</t>
  </si>
  <si>
    <t xml:space="preserve">EV / equity / per share with and without gas roll-off side by side</t>
  </si>
  <si>
    <t xml:space="preserve">  Roll-off impact</t>
  </si>
  <si>
    <t xml:space="preserve">Per-share Δ from gas roll-off, by scenario</t>
  </si>
  <si>
    <t xml:space="preserve">  Scenario Rationale</t>
  </si>
  <si>
    <t xml:space="preserve">One-paragraph rationale per scenario</t>
  </si>
  <si>
    <t xml:space="preserve">Methodology references:</t>
  </si>
  <si>
    <t xml:space="preserve">  Single WACC</t>
  </si>
  <si>
    <t xml:space="preserve">design/methodology/equity_bridge_and_valuation_mechanics.md section 3.5</t>
  </si>
  <si>
    <t xml:space="preserve">  Margin overlays</t>
  </si>
  <si>
    <t xml:space="preserve">section 3.2 (transformation + structural headwinds as sister concepts)</t>
  </si>
  <si>
    <t xml:space="preserve">  Architecture spec</t>
  </si>
  <si>
    <t xml:space="preserve">design/architecture.md v0.3.1</t>
  </si>
  <si>
    <t xml:space="preserve">  Worked example</t>
  </si>
  <si>
    <t xml:space="preserve">analyses/dnl/valuations/dnl_muddle_through_valuation_v3.xlsx</t>
  </si>
  <si>
    <t xml:space="preserve">Market reference (21 May 2026):</t>
  </si>
  <si>
    <t xml:space="preserve">Share price AUD 3.61; consensus target AUD 3.61</t>
  </si>
  <si>
    <t xml:space="preserve">Scenario-varying inputs + margin path with gas roll-off</t>
  </si>
  <si>
    <t xml:space="preserve">Input</t>
  </si>
  <si>
    <t xml:space="preserve">Muddle
Through</t>
  </si>
  <si>
    <t xml:space="preserve">Orderly
Convergence</t>
  </si>
  <si>
    <t xml:space="preserve">AI Prod.
Lag</t>
  </si>
  <si>
    <t xml:space="preserve">Fragmen-
tation</t>
  </si>
  <si>
    <t xml:space="preserve">Disorderly
Climate</t>
  </si>
  <si>
    <t xml:space="preserve">Stagflation
Persists</t>
  </si>
  <si>
    <t xml:space="preserve">SCENARIO MACRO BASELINE</t>
  </si>
  <si>
    <t xml:space="preserve">DM real GDP growth</t>
  </si>
  <si>
    <t xml:space="preserve">DM inflation</t>
  </si>
  <si>
    <t xml:space="preserve">Global mining real growth</t>
  </si>
  <si>
    <t xml:space="preserve">Gas price growth</t>
  </si>
  <si>
    <t xml:space="preserve">SCENARIO-CONDITIONAL DELTAS</t>
  </si>
  <si>
    <t xml:space="preserve">Margin delta (pp)</t>
  </si>
  <si>
    <t xml:space="preserve">Terminal growth delta (bps)</t>
  </si>
  <si>
    <t xml:space="preserve">Climate capex delta (pp)</t>
  </si>
  <si>
    <t xml:space="preserve">MARGIN PATH (base 12.9% + transformation + gas roll-off + scenario)</t>
  </si>
  <si>
    <t xml:space="preserve">Y1 margin (FY27)</t>
  </si>
  <si>
    <t xml:space="preserve">Y2 margin (FY28)</t>
  </si>
  <si>
    <t xml:space="preserve">Y3 margin (FY29) — first roll-off step</t>
  </si>
  <si>
    <t xml:space="preserve">Y4 margin (FY30)</t>
  </si>
  <si>
    <t xml:space="preserve">Y5 margin (FY31) — fully rolled off</t>
  </si>
  <si>
    <t xml:space="preserve">DERIVED FROM CHAIN</t>
  </si>
  <si>
    <t xml:space="preserve">DNL nominal revenue growth</t>
  </si>
  <si>
    <t xml:space="preserve">Applied WACC (constant)</t>
  </si>
  <si>
    <t xml:space="preserve">Applied terminal growth</t>
  </si>
  <si>
    <t xml:space="preserve">WACC: single build applied to all scenarios</t>
  </si>
  <si>
    <t xml:space="preserve">Component</t>
  </si>
  <si>
    <t xml:space="preserve">Value</t>
  </si>
  <si>
    <t xml:space="preserve">Notes</t>
  </si>
  <si>
    <t xml:space="preserve">COST OF EQUITY</t>
  </si>
  <si>
    <t xml:space="preserve">Risk-free rate (Rf)</t>
  </si>
  <si>
    <t xml:space="preserve">10Y AUD govt bond yield</t>
  </si>
  <si>
    <t xml:space="preserve">Equity risk premium (ERP)</t>
  </si>
  <si>
    <t xml:space="preserve">Mature-Australia ERP</t>
  </si>
  <si>
    <t xml:space="preserve">Beta</t>
  </si>
  <si>
    <t xml:space="preserve">Pre-demerger 1.05-1.10 + pure-play uplift</t>
  </si>
  <si>
    <t xml:space="preserve">Cost of equity</t>
  </si>
  <si>
    <t xml:space="preserve">COST OF DEBT (AFTER-TAX)</t>
  </si>
  <si>
    <t xml:space="preserve">Cost of debt, pre-tax</t>
  </si>
  <si>
    <t xml:space="preserve">Tax rate</t>
  </si>
  <si>
    <t xml:space="preserve">Cost of debt, after-tax</t>
  </si>
  <si>
    <t xml:space="preserve">WEIGHTS (market value)</t>
  </si>
  <si>
    <t xml:space="preserve">Equity market value</t>
  </si>
  <si>
    <t xml:space="preserve">Debt market value</t>
  </si>
  <si>
    <t xml:space="preserve">E/V</t>
  </si>
  <si>
    <t xml:space="preserve">D/V</t>
  </si>
  <si>
    <t xml:space="preserve">APPLIED WACC</t>
  </si>
  <si>
    <t xml:space="preserve">Baseline (computed)</t>
  </si>
  <si>
    <t xml:space="preserve">Applied WACC (default = baseline; override for sensitivity)</t>
  </si>
  <si>
    <t xml:space="preserve">Per methodology section 3.5: constant across all scenarios. Override this cell to test sensitivity.</t>
  </si>
  <si>
    <t xml:space="preserve">DCF outputs — with and without gas roll-off overlay</t>
  </si>
  <si>
    <t xml:space="preserve">Output</t>
  </si>
  <si>
    <t xml:space="preserve">WITH GAS ROLL-OFF (canonical)</t>
  </si>
  <si>
    <t xml:space="preserve">Revenue Y5 (AUD m)</t>
  </si>
  <si>
    <t xml:space="preserve">EBIT margin Y5</t>
  </si>
  <si>
    <t xml:space="preserve">FCFF Y5 (AUD m)</t>
  </si>
  <si>
    <t xml:space="preserve">Enterprise value (AUD m)</t>
  </si>
  <si>
    <t xml:space="preserve">Equity value (AUD m)</t>
  </si>
  <si>
    <t xml:space="preserve">Value per share</t>
  </si>
  <si>
    <t xml:space="preserve">vs market (AUD 3.61)</t>
  </si>
  <si>
    <t xml:space="preserve">WITHOUT GAS ROLL-OFF (v2 numbers)</t>
  </si>
  <si>
    <t xml:space="preserve">DELTA FROM GAS ROLL-OFF</t>
  </si>
  <si>
    <t xml:space="preserve">Δ EBIT margin Y5 (pp)</t>
  </si>
  <si>
    <t xml:space="preserve">Δ Per share (AUD)</t>
  </si>
  <si>
    <t xml:space="preserve">Δ Per share (%)</t>
  </si>
  <si>
    <t xml:space="preserve">Gas roll-off impact summary</t>
  </si>
  <si>
    <t xml:space="preserve">PER-SHARE COMPARISON</t>
  </si>
  <si>
    <t xml:space="preserve">Per share without gas roll-off (v2)</t>
  </si>
  <si>
    <t xml:space="preserve">Per share with gas roll-off (v3)</t>
  </si>
  <si>
    <t xml:space="preserve">Δ AUD per share</t>
  </si>
  <si>
    <t xml:space="preserve">Δ % per share</t>
  </si>
  <si>
    <t xml:space="preserve">DISCUSSION</t>
  </si>
  <si>
    <t xml:space="preserve">Roll-off applied uniformly across all scenarios (flat -50/-100/-150bps Y3/Y4/Y5). Per-share drag ranges AUD 0.31-0.36 across scenarios — relatively flat because the overlay is scenario-agnostic. Future refinement: make scenario-conditional (bigger drag under Stagflation/Disorderly Climate where post-roll-off gas is much higher than contracted; smaller under Orderly).</t>
  </si>
  <si>
    <t xml:space="preserve">Scenario rationale</t>
  </si>
  <si>
    <t xml:space="preserve">Scenario</t>
  </si>
  <si>
    <t xml:space="preserve">Rationale</t>
  </si>
  <si>
    <t xml:space="preserve">Muddle Through
(Interior, most-likely)</t>
  </si>
  <si>
    <t xml:space="preserve">Interior most-likely. Mining-customer capex cycle continues at current pace.</t>
  </si>
  <si>
    <t xml:space="preserve">Orderly Convergence
(Upside boundary)</t>
  </si>
  <si>
    <t xml:space="preserve">Productivity acceleration + ordered geopolitics. Mining demand strong; rates lower; risk-on.</t>
  </si>
  <si>
    <t xml:space="preserve">AI Productivity Lag
(Technology-downside boundary)</t>
  </si>
  <si>
    <t xml:space="preserve">AI fails to deliver economy-wide TFP gains.</t>
  </si>
  <si>
    <t xml:space="preserve">Fragmentation
(Geopolitical-downside boundary)</t>
  </si>
  <si>
    <t xml:space="preserve">Trade fragmentation + resource nationalism.</t>
  </si>
  <si>
    <t xml:space="preserve">Disorderly Climate
(Climate-downside boundary)</t>
  </si>
  <si>
    <t xml:space="preserve">Disorderly climate crystallisation: carbon costs accelerate.</t>
  </si>
  <si>
    <t xml:space="preserve">Stagflation Persists
(Macro-downside boundary)</t>
  </si>
  <si>
    <t xml:space="preserve">Persistent stagflation: weak real growth, high inflation, high gas costs. Cost squeeze.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</si>
</sst>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%;\(0.00%\);\-"/>
    <numFmt numFmtId="166" formatCode="\+#,##0&quot; bps&quot;;\-#,##0&quot; bps&quot;;&quot;- bps&quot;"/>
    <numFmt numFmtId="167" formatCode="0.0%;\(0.0%\);\-"/>
    <numFmt numFmtId="168" formatCode="0.00"/>
    <numFmt numFmtId="169" formatCode="#,##0;\(#,##0\);\-"/>
    <numFmt numFmtId="170" formatCode="&quot;AUD &quot;#,##0.00;&quot;(AUD &quot;#,##0.00\);\-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3"/>
      <color rgb="FF1F4E78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4"/>
      <color rgb="FF0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2EFDA"/>
        <bgColor rgb="FFD9E1F2"/>
      </patternFill>
    </fill>
    <fill>
      <patternFill patternType="solid">
        <fgColor rgb="FFFCE4E4"/>
        <bgColor rgb="FFE2EFDA"/>
      </patternFill>
    </fill>
    <fill>
      <patternFill patternType="solid">
        <fgColor rgb="FFD9E1F2"/>
        <bgColor rgb="FFE2EFDA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6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6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6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6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7" fontId="5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5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6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6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6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6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5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9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6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6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5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4E4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2"/>
    <col collapsed="false" customWidth="true" hidden="false" outlineLevel="0" max="3" min="3" style="0" width="80"/>
  </cols>
  <sheetData>
    <row r="1" customFormat="false" ht="19.7" hidden="false" customHeight="false" outlineLevel="0" collapsed="false">
      <c r="B1" s="1" t="s">
        <v>0</v>
      </c>
    </row>
    <row r="3" customFormat="false" ht="26.85" hidden="false" customHeight="false" outlineLevel="0" collapsed="false">
      <c r="B3" s="2" t="s">
        <v>1</v>
      </c>
      <c r="C3" s="3" t="s">
        <v>2</v>
      </c>
    </row>
    <row r="4" customFormat="false" ht="15" hidden="false" customHeight="false" outlineLevel="0" collapsed="false">
      <c r="B4" s="2"/>
      <c r="C4" s="3"/>
    </row>
    <row r="5" customFormat="false" ht="64.9" hidden="false" customHeight="false" outlineLevel="0" collapsed="false">
      <c r="B5" s="2" t="s">
        <v>3</v>
      </c>
      <c r="C5" s="3" t="s">
        <v>4</v>
      </c>
    </row>
    <row r="6" customFormat="false" ht="15" hidden="false" customHeight="false" outlineLevel="0" collapsed="false">
      <c r="B6" s="2"/>
      <c r="C6" s="3"/>
    </row>
    <row r="7" customFormat="false" ht="15" hidden="false" customHeight="false" outlineLevel="0" collapsed="false">
      <c r="B7" s="2" t="s">
        <v>5</v>
      </c>
      <c r="C7" s="3"/>
    </row>
    <row r="8" customFormat="false" ht="15" hidden="false" customHeight="false" outlineLevel="0" collapsed="false">
      <c r="B8" s="2" t="s">
        <v>6</v>
      </c>
      <c r="C8" s="3" t="s">
        <v>7</v>
      </c>
    </row>
    <row r="9" customFormat="false" ht="15" hidden="false" customHeight="false" outlineLevel="0" collapsed="false">
      <c r="B9" s="2" t="s">
        <v>8</v>
      </c>
      <c r="C9" s="3" t="s">
        <v>7</v>
      </c>
    </row>
    <row r="10" customFormat="false" ht="15" hidden="false" customHeight="false" outlineLevel="0" collapsed="false">
      <c r="B10" s="2" t="s">
        <v>9</v>
      </c>
      <c r="C10" s="3" t="s">
        <v>10</v>
      </c>
    </row>
    <row r="11" customFormat="false" ht="15" hidden="false" customHeight="false" outlineLevel="0" collapsed="false">
      <c r="B11" s="2" t="s">
        <v>11</v>
      </c>
      <c r="C11" s="3" t="s">
        <v>12</v>
      </c>
    </row>
    <row r="12" customFormat="false" ht="15" hidden="false" customHeight="false" outlineLevel="0" collapsed="false">
      <c r="B12" s="2" t="s">
        <v>13</v>
      </c>
      <c r="C12" s="3" t="s">
        <v>14</v>
      </c>
    </row>
    <row r="13" customFormat="false" ht="15" hidden="false" customHeight="false" outlineLevel="0" collapsed="false">
      <c r="B13" s="2"/>
      <c r="C13" s="3"/>
    </row>
    <row r="14" customFormat="false" ht="15" hidden="false" customHeight="false" outlineLevel="0" collapsed="false">
      <c r="B14" s="2" t="s">
        <v>15</v>
      </c>
      <c r="C14" s="3" t="s">
        <v>16</v>
      </c>
    </row>
    <row r="15" customFormat="false" ht="15" hidden="false" customHeight="false" outlineLevel="0" collapsed="false">
      <c r="B15" s="2" t="s">
        <v>17</v>
      </c>
      <c r="C15" s="3" t="s">
        <v>18</v>
      </c>
    </row>
    <row r="16" customFormat="false" ht="15" hidden="false" customHeight="false" outlineLevel="0" collapsed="false">
      <c r="B16" s="2"/>
      <c r="C16" s="3"/>
    </row>
    <row r="17" customFormat="false" ht="15" hidden="false" customHeight="false" outlineLevel="0" collapsed="false">
      <c r="B17" s="2" t="s">
        <v>19</v>
      </c>
      <c r="C17" s="3" t="s">
        <v>20</v>
      </c>
    </row>
    <row r="18" customFormat="false" ht="39.55" hidden="false" customHeight="false" outlineLevel="0" collapsed="false">
      <c r="B18" s="2" t="s">
        <v>21</v>
      </c>
      <c r="C18" s="3" t="s">
        <v>22</v>
      </c>
    </row>
    <row r="19" customFormat="false" ht="15" hidden="false" customHeight="false" outlineLevel="0" collapsed="false">
      <c r="B19" s="2"/>
      <c r="C19" s="3"/>
    </row>
    <row r="20" customFormat="false" ht="15" hidden="false" customHeight="false" outlineLevel="0" collapsed="false">
      <c r="B20" s="2" t="s">
        <v>23</v>
      </c>
      <c r="C20" s="3"/>
    </row>
    <row r="21" customFormat="false" ht="15" hidden="false" customHeight="false" outlineLevel="0" collapsed="false">
      <c r="B21" s="2" t="s">
        <v>24</v>
      </c>
      <c r="C21" s="3" t="s">
        <v>25</v>
      </c>
    </row>
    <row r="22" customFormat="false" ht="15" hidden="false" customHeight="false" outlineLevel="0" collapsed="false">
      <c r="B22" s="2" t="s">
        <v>26</v>
      </c>
      <c r="C22" s="3" t="s">
        <v>27</v>
      </c>
    </row>
    <row r="23" customFormat="false" ht="15" hidden="false" customHeight="false" outlineLevel="0" collapsed="false">
      <c r="B23" s="2" t="s">
        <v>28</v>
      </c>
      <c r="C23" s="3" t="s">
        <v>29</v>
      </c>
    </row>
    <row r="24" customFormat="false" ht="15" hidden="false" customHeight="false" outlineLevel="0" collapsed="false">
      <c r="B24" s="2" t="s">
        <v>30</v>
      </c>
      <c r="C24" s="3" t="s">
        <v>31</v>
      </c>
    </row>
    <row r="25" customFormat="false" ht="15" hidden="false" customHeight="false" outlineLevel="0" collapsed="false">
      <c r="B25" s="2" t="s">
        <v>32</v>
      </c>
      <c r="C25" s="3" t="s">
        <v>33</v>
      </c>
    </row>
    <row r="26" customFormat="false" ht="15" hidden="false" customHeight="false" outlineLevel="0" collapsed="false">
      <c r="B26" s="2"/>
      <c r="C26" s="3"/>
    </row>
    <row r="27" customFormat="false" ht="15" hidden="false" customHeight="false" outlineLevel="0" collapsed="false">
      <c r="B27" s="2" t="s">
        <v>34</v>
      </c>
      <c r="C27" s="3"/>
    </row>
    <row r="28" customFormat="false" ht="15" hidden="false" customHeight="false" outlineLevel="0" collapsed="false">
      <c r="B28" s="2" t="s">
        <v>35</v>
      </c>
      <c r="C28" s="3" t="s">
        <v>36</v>
      </c>
    </row>
    <row r="29" customFormat="false" ht="15" hidden="false" customHeight="false" outlineLevel="0" collapsed="false">
      <c r="B29" s="2" t="s">
        <v>37</v>
      </c>
      <c r="C29" s="3" t="s">
        <v>38</v>
      </c>
    </row>
    <row r="30" customFormat="false" ht="15" hidden="false" customHeight="false" outlineLevel="0" collapsed="false">
      <c r="B30" s="2" t="s">
        <v>39</v>
      </c>
      <c r="C30" s="3" t="s">
        <v>40</v>
      </c>
    </row>
    <row r="31" customFormat="false" ht="15" hidden="false" customHeight="false" outlineLevel="0" collapsed="false">
      <c r="B31" s="2" t="s">
        <v>41</v>
      </c>
      <c r="C31" s="3" t="s">
        <v>42</v>
      </c>
    </row>
    <row r="32" customFormat="false" ht="15" hidden="false" customHeight="false" outlineLevel="0" collapsed="false">
      <c r="B32" s="2"/>
      <c r="C32" s="3"/>
    </row>
    <row r="33" customFormat="false" ht="15" hidden="false" customHeight="false" outlineLevel="0" collapsed="false">
      <c r="B33" s="2" t="s">
        <v>43</v>
      </c>
      <c r="C33" s="3" t="s">
        <v>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7" min="2" style="0" width="14"/>
  </cols>
  <sheetData>
    <row r="1" customFormat="false" ht="16.15" hidden="false" customHeight="false" outlineLevel="0" collapsed="false">
      <c r="A1" s="4" t="s">
        <v>45</v>
      </c>
      <c r="B1" s="4"/>
      <c r="C1" s="4"/>
      <c r="D1" s="4"/>
      <c r="E1" s="4"/>
      <c r="F1" s="4"/>
      <c r="G1" s="4"/>
    </row>
    <row r="3" customFormat="false" ht="36" hidden="false" customHeight="true" outlineLevel="0" collapsed="false">
      <c r="A3" s="5" t="s">
        <v>46</v>
      </c>
      <c r="B3" s="6" t="s">
        <v>47</v>
      </c>
      <c r="C3" s="6" t="s">
        <v>48</v>
      </c>
      <c r="D3" s="6" t="s">
        <v>49</v>
      </c>
      <c r="E3" s="6" t="s">
        <v>50</v>
      </c>
      <c r="F3" s="6" t="s">
        <v>51</v>
      </c>
      <c r="G3" s="6" t="s">
        <v>52</v>
      </c>
    </row>
    <row r="5" customFormat="false" ht="21.75" hidden="false" customHeight="true" outlineLevel="0" collapsed="false">
      <c r="A5" s="7" t="s">
        <v>53</v>
      </c>
      <c r="B5" s="8"/>
      <c r="C5" s="8"/>
      <c r="D5" s="8"/>
      <c r="E5" s="8"/>
      <c r="F5" s="8"/>
      <c r="G5" s="8"/>
    </row>
    <row r="6" customFormat="false" ht="15" hidden="false" customHeight="false" outlineLevel="0" collapsed="false">
      <c r="A6" s="3" t="s">
        <v>54</v>
      </c>
      <c r="B6" s="9" t="n">
        <v>0.02</v>
      </c>
      <c r="C6" s="10" t="n">
        <v>0.025</v>
      </c>
      <c r="D6" s="9" t="n">
        <v>0.017</v>
      </c>
      <c r="E6" s="9" t="n">
        <v>0.01</v>
      </c>
      <c r="F6" s="9" t="n">
        <v>0.015</v>
      </c>
      <c r="G6" s="11" t="n">
        <v>0.005</v>
      </c>
    </row>
    <row r="7" customFormat="false" ht="15" hidden="false" customHeight="false" outlineLevel="0" collapsed="false">
      <c r="A7" s="3" t="s">
        <v>55</v>
      </c>
      <c r="B7" s="9" t="n">
        <v>0.025</v>
      </c>
      <c r="C7" s="11" t="n">
        <v>0.02</v>
      </c>
      <c r="D7" s="9" t="n">
        <v>0.025</v>
      </c>
      <c r="E7" s="9" t="n">
        <v>0.035</v>
      </c>
      <c r="F7" s="9" t="n">
        <v>0.035</v>
      </c>
      <c r="G7" s="10" t="n">
        <v>0.045</v>
      </c>
    </row>
    <row r="8" customFormat="false" ht="15" hidden="false" customHeight="false" outlineLevel="0" collapsed="false">
      <c r="A8" s="3" t="s">
        <v>56</v>
      </c>
      <c r="B8" s="9" t="n">
        <v>0.025</v>
      </c>
      <c r="C8" s="10" t="n">
        <v>0.04</v>
      </c>
      <c r="D8" s="9" t="n">
        <v>0.02</v>
      </c>
      <c r="E8" s="9" t="n">
        <v>0.015</v>
      </c>
      <c r="F8" s="9" t="n">
        <v>0.02</v>
      </c>
      <c r="G8" s="11" t="n">
        <v>0</v>
      </c>
    </row>
    <row r="9" customFormat="false" ht="15" hidden="false" customHeight="false" outlineLevel="0" collapsed="false">
      <c r="A9" s="3" t="s">
        <v>57</v>
      </c>
      <c r="B9" s="9" t="n">
        <v>0.02</v>
      </c>
      <c r="C9" s="11" t="n">
        <v>0.015</v>
      </c>
      <c r="D9" s="9" t="n">
        <v>0.02</v>
      </c>
      <c r="E9" s="9" t="n">
        <v>0.04</v>
      </c>
      <c r="F9" s="10" t="n">
        <v>0.06</v>
      </c>
      <c r="G9" s="9" t="n">
        <v>0.05</v>
      </c>
    </row>
    <row r="11" customFormat="false" ht="21.75" hidden="false" customHeight="true" outlineLevel="0" collapsed="false">
      <c r="A11" s="7" t="s">
        <v>58</v>
      </c>
      <c r="B11" s="8"/>
      <c r="C11" s="8"/>
      <c r="D11" s="8"/>
      <c r="E11" s="8"/>
      <c r="F11" s="8"/>
      <c r="G11" s="8"/>
    </row>
    <row r="12" customFormat="false" ht="15" hidden="false" customHeight="false" outlineLevel="0" collapsed="false">
      <c r="A12" s="3" t="s">
        <v>59</v>
      </c>
      <c r="B12" s="9" t="n">
        <v>0</v>
      </c>
      <c r="C12" s="10" t="n">
        <v>0.005</v>
      </c>
      <c r="D12" s="10" t="n">
        <v>0.005</v>
      </c>
      <c r="E12" s="9" t="n">
        <v>-0.03</v>
      </c>
      <c r="F12" s="9" t="n">
        <v>-0.03</v>
      </c>
      <c r="G12" s="11" t="n">
        <v>-0.075</v>
      </c>
    </row>
    <row r="13" customFormat="false" ht="15" hidden="false" customHeight="false" outlineLevel="0" collapsed="false">
      <c r="A13" s="3" t="s">
        <v>60</v>
      </c>
      <c r="B13" s="12" t="n">
        <v>0</v>
      </c>
      <c r="C13" s="13" t="n">
        <v>25</v>
      </c>
      <c r="D13" s="12" t="n">
        <v>-25</v>
      </c>
      <c r="E13" s="12" t="n">
        <v>-25</v>
      </c>
      <c r="F13" s="14" t="n">
        <v>-75</v>
      </c>
      <c r="G13" s="12" t="n">
        <v>-25</v>
      </c>
    </row>
    <row r="14" customFormat="false" ht="15" hidden="false" customHeight="false" outlineLevel="0" collapsed="false">
      <c r="A14" s="3" t="s">
        <v>61</v>
      </c>
      <c r="B14" s="11" t="n">
        <v>0</v>
      </c>
      <c r="C14" s="11" t="n">
        <v>0</v>
      </c>
      <c r="D14" s="11" t="n">
        <v>0</v>
      </c>
      <c r="E14" s="11" t="n">
        <v>0</v>
      </c>
      <c r="F14" s="10" t="n">
        <v>0.03</v>
      </c>
      <c r="G14" s="11" t="n">
        <v>0</v>
      </c>
    </row>
    <row r="16" customFormat="false" ht="21.75" hidden="false" customHeight="true" outlineLevel="0" collapsed="false">
      <c r="A16" s="7" t="s">
        <v>62</v>
      </c>
      <c r="B16" s="8"/>
      <c r="C16" s="8"/>
      <c r="D16" s="8"/>
      <c r="E16" s="8"/>
      <c r="F16" s="8"/>
      <c r="G16" s="8"/>
    </row>
    <row r="17" customFormat="false" ht="15" hidden="false" customHeight="false" outlineLevel="0" collapsed="false">
      <c r="A17" s="3" t="s">
        <v>63</v>
      </c>
      <c r="B17" s="15" t="n">
        <v>0.139</v>
      </c>
      <c r="C17" s="15" t="n">
        <v>0.144</v>
      </c>
      <c r="D17" s="15" t="n">
        <v>0.144</v>
      </c>
      <c r="E17" s="15" t="n">
        <v>0.109</v>
      </c>
      <c r="F17" s="15" t="n">
        <v>0.109</v>
      </c>
      <c r="G17" s="15" t="n">
        <v>0.064</v>
      </c>
    </row>
    <row r="18" customFormat="false" ht="15" hidden="false" customHeight="false" outlineLevel="0" collapsed="false">
      <c r="A18" s="3" t="s">
        <v>64</v>
      </c>
      <c r="B18" s="15" t="n">
        <v>0.149</v>
      </c>
      <c r="C18" s="15" t="n">
        <v>0.154</v>
      </c>
      <c r="D18" s="15" t="n">
        <v>0.154</v>
      </c>
      <c r="E18" s="15" t="n">
        <v>0.119</v>
      </c>
      <c r="F18" s="15" t="n">
        <v>0.119</v>
      </c>
      <c r="G18" s="15" t="n">
        <v>0.074</v>
      </c>
    </row>
    <row r="19" customFormat="false" ht="15" hidden="false" customHeight="false" outlineLevel="0" collapsed="false">
      <c r="A19" s="3" t="s">
        <v>65</v>
      </c>
      <c r="B19" s="15" t="n">
        <v>0.146</v>
      </c>
      <c r="C19" s="15" t="n">
        <v>0.151</v>
      </c>
      <c r="D19" s="15" t="n">
        <v>0.151</v>
      </c>
      <c r="E19" s="15" t="n">
        <v>0.116</v>
      </c>
      <c r="F19" s="15" t="n">
        <v>0.116</v>
      </c>
      <c r="G19" s="15" t="n">
        <v>0.071</v>
      </c>
    </row>
    <row r="20" customFormat="false" ht="15" hidden="false" customHeight="false" outlineLevel="0" collapsed="false">
      <c r="A20" s="3" t="s">
        <v>66</v>
      </c>
      <c r="B20" s="15" t="n">
        <v>0.141</v>
      </c>
      <c r="C20" s="15" t="n">
        <v>0.146</v>
      </c>
      <c r="D20" s="15" t="n">
        <v>0.146</v>
      </c>
      <c r="E20" s="15" t="n">
        <v>0.111</v>
      </c>
      <c r="F20" s="15" t="n">
        <v>0.111</v>
      </c>
      <c r="G20" s="15" t="n">
        <v>0.066</v>
      </c>
    </row>
    <row r="21" customFormat="false" ht="15" hidden="false" customHeight="false" outlineLevel="0" collapsed="false">
      <c r="A21" s="16" t="s">
        <v>67</v>
      </c>
      <c r="B21" s="17" t="n">
        <v>0.136</v>
      </c>
      <c r="C21" s="17" t="n">
        <v>0.141</v>
      </c>
      <c r="D21" s="17" t="n">
        <v>0.141</v>
      </c>
      <c r="E21" s="17" t="n">
        <v>0.106</v>
      </c>
      <c r="F21" s="17" t="n">
        <v>0.106</v>
      </c>
      <c r="G21" s="17" t="n">
        <v>0.061</v>
      </c>
    </row>
    <row r="23" customFormat="false" ht="21.75" hidden="false" customHeight="true" outlineLevel="0" collapsed="false">
      <c r="A23" s="7" t="s">
        <v>68</v>
      </c>
      <c r="B23" s="8"/>
      <c r="C23" s="8"/>
      <c r="D23" s="8"/>
      <c r="E23" s="8"/>
      <c r="F23" s="8"/>
      <c r="G23" s="8"/>
    </row>
    <row r="24" customFormat="false" ht="15" hidden="false" customHeight="false" outlineLevel="0" collapsed="false">
      <c r="A24" s="16" t="s">
        <v>69</v>
      </c>
      <c r="B24" s="18" t="n">
        <v>0.05904887625</v>
      </c>
      <c r="C24" s="18" t="n">
        <v>0.07191525</v>
      </c>
      <c r="D24" s="18" t="n">
        <v>0.052957585</v>
      </c>
      <c r="E24" s="18" t="n">
        <v>0.06054083125</v>
      </c>
      <c r="F24" s="18" t="n">
        <v>0.0730559750000001</v>
      </c>
      <c r="G24" s="18" t="n">
        <v>0.05237718</v>
      </c>
    </row>
    <row r="25" customFormat="false" ht="15" hidden="false" customHeight="false" outlineLevel="0" collapsed="false">
      <c r="A25" s="3" t="s">
        <v>70</v>
      </c>
      <c r="B25" s="9" t="n">
        <v>0.0916011658911486</v>
      </c>
      <c r="C25" s="9" t="n">
        <v>0.0916011658911486</v>
      </c>
      <c r="D25" s="9" t="n">
        <v>0.0916011658911486</v>
      </c>
      <c r="E25" s="9" t="n">
        <v>0.0916011658911486</v>
      </c>
      <c r="F25" s="9" t="n">
        <v>0.0916011658911486</v>
      </c>
      <c r="G25" s="9" t="n">
        <v>0.0916011658911486</v>
      </c>
    </row>
    <row r="26" customFormat="false" ht="15" hidden="false" customHeight="false" outlineLevel="0" collapsed="false">
      <c r="A26" s="3" t="s">
        <v>71</v>
      </c>
      <c r="B26" s="9" t="n">
        <v>0.025</v>
      </c>
      <c r="C26" s="10" t="n">
        <v>0.0275</v>
      </c>
      <c r="D26" s="9" t="n">
        <v>0.0225</v>
      </c>
      <c r="E26" s="9" t="n">
        <v>0.0225</v>
      </c>
      <c r="F26" s="11" t="n">
        <v>0.0175</v>
      </c>
      <c r="G26" s="9" t="n">
        <v>0.0225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8"/>
    <col collapsed="false" customWidth="true" hidden="false" outlineLevel="0" max="3" min="3" style="0" width="60"/>
  </cols>
  <sheetData>
    <row r="1" customFormat="false" ht="16.15" hidden="false" customHeight="false" outlineLevel="0" collapsed="false">
      <c r="A1" s="4" t="s">
        <v>72</v>
      </c>
      <c r="B1" s="4"/>
      <c r="C1" s="4"/>
    </row>
    <row r="3" customFormat="false" ht="15" hidden="false" customHeight="false" outlineLevel="0" collapsed="false">
      <c r="A3" s="5" t="s">
        <v>73</v>
      </c>
      <c r="B3" s="5" t="s">
        <v>74</v>
      </c>
      <c r="C3" s="5" t="s">
        <v>75</v>
      </c>
    </row>
    <row r="5" customFormat="false" ht="21.75" hidden="false" customHeight="true" outlineLevel="0" collapsed="false">
      <c r="A5" s="7" t="s">
        <v>76</v>
      </c>
      <c r="B5" s="8"/>
      <c r="C5" s="8"/>
    </row>
    <row r="6" customFormat="false" ht="15" hidden="false" customHeight="false" outlineLevel="0" collapsed="false">
      <c r="A6" s="19" t="s">
        <v>77</v>
      </c>
      <c r="B6" s="20" t="n">
        <v>0.043</v>
      </c>
      <c r="C6" s="19" t="s">
        <v>78</v>
      </c>
    </row>
    <row r="7" customFormat="false" ht="15" hidden="false" customHeight="false" outlineLevel="0" collapsed="false">
      <c r="A7" s="19" t="s">
        <v>79</v>
      </c>
      <c r="B7" s="20" t="n">
        <v>0.05</v>
      </c>
      <c r="C7" s="19" t="s">
        <v>80</v>
      </c>
    </row>
    <row r="8" customFormat="false" ht="15" hidden="false" customHeight="false" outlineLevel="0" collapsed="false">
      <c r="A8" s="19" t="s">
        <v>81</v>
      </c>
      <c r="B8" s="21" t="n">
        <v>1.15</v>
      </c>
      <c r="C8" s="19" t="s">
        <v>82</v>
      </c>
    </row>
    <row r="9" customFormat="false" ht="15" hidden="false" customHeight="false" outlineLevel="0" collapsed="false">
      <c r="A9" s="2" t="s">
        <v>83</v>
      </c>
      <c r="B9" s="20" t="n">
        <f aca="false">B6+B8*B7</f>
        <v>0.1005</v>
      </c>
    </row>
    <row r="11" customFormat="false" ht="21.75" hidden="false" customHeight="true" outlineLevel="0" collapsed="false">
      <c r="A11" s="7" t="s">
        <v>84</v>
      </c>
      <c r="B11" s="8"/>
      <c r="C11" s="8"/>
    </row>
    <row r="12" customFormat="false" ht="15" hidden="false" customHeight="false" outlineLevel="0" collapsed="false">
      <c r="A12" s="19" t="s">
        <v>85</v>
      </c>
      <c r="B12" s="20" t="n">
        <v>0.06</v>
      </c>
    </row>
    <row r="13" customFormat="false" ht="15" hidden="false" customHeight="false" outlineLevel="0" collapsed="false">
      <c r="A13" s="19" t="s">
        <v>86</v>
      </c>
      <c r="B13" s="22" t="n">
        <v>0.225</v>
      </c>
    </row>
    <row r="14" customFormat="false" ht="15" hidden="false" customHeight="false" outlineLevel="0" collapsed="false">
      <c r="A14" s="2" t="s">
        <v>87</v>
      </c>
      <c r="B14" s="20" t="n">
        <f aca="false">B12*(1-B13)</f>
        <v>0.0465</v>
      </c>
    </row>
    <row r="16" customFormat="false" ht="21.75" hidden="false" customHeight="true" outlineLevel="0" collapsed="false">
      <c r="A16" s="7" t="s">
        <v>88</v>
      </c>
      <c r="B16" s="8"/>
      <c r="C16" s="8"/>
    </row>
    <row r="17" customFormat="false" ht="15" hidden="false" customHeight="false" outlineLevel="0" collapsed="false">
      <c r="A17" s="19" t="s">
        <v>89</v>
      </c>
      <c r="B17" s="23" t="n">
        <v>6390</v>
      </c>
    </row>
    <row r="18" customFormat="false" ht="15" hidden="false" customHeight="false" outlineLevel="0" collapsed="false">
      <c r="A18" s="19" t="s">
        <v>90</v>
      </c>
      <c r="B18" s="23" t="n">
        <v>1260.8</v>
      </c>
    </row>
    <row r="19" customFormat="false" ht="15" hidden="false" customHeight="false" outlineLevel="0" collapsed="false">
      <c r="A19" s="19" t="s">
        <v>91</v>
      </c>
      <c r="B19" s="22" t="n">
        <f aca="false">B17/(B17+B18)</f>
        <v>0.835206775762012</v>
      </c>
    </row>
    <row r="20" customFormat="false" ht="15" hidden="false" customHeight="false" outlineLevel="0" collapsed="false">
      <c r="A20" s="19" t="s">
        <v>92</v>
      </c>
      <c r="B20" s="22" t="n">
        <f aca="false">B18/(B17+B18)</f>
        <v>0.164793224237988</v>
      </c>
    </row>
    <row r="22" customFormat="false" ht="21.75" hidden="false" customHeight="true" outlineLevel="0" collapsed="false">
      <c r="A22" s="7" t="s">
        <v>93</v>
      </c>
      <c r="B22" s="8"/>
      <c r="C22" s="8"/>
    </row>
    <row r="23" customFormat="false" ht="15" hidden="false" customHeight="false" outlineLevel="0" collapsed="false">
      <c r="A23" s="2" t="s">
        <v>94</v>
      </c>
      <c r="B23" s="20" t="n">
        <f aca="false">B19*B9+B20*B14</f>
        <v>0.0916011658911486</v>
      </c>
    </row>
    <row r="24" customFormat="false" ht="26.85" hidden="false" customHeight="false" outlineLevel="0" collapsed="false">
      <c r="A24" s="2" t="s">
        <v>95</v>
      </c>
      <c r="B24" s="24" t="n">
        <f aca="false">B23</f>
        <v>0.0916011658911486</v>
      </c>
      <c r="C24" s="3" t="s">
        <v>96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7" min="2" style="0" width="14"/>
  </cols>
  <sheetData>
    <row r="1" customFormat="false" ht="16.15" hidden="false" customHeight="false" outlineLevel="0" collapsed="false">
      <c r="A1" s="4" t="s">
        <v>97</v>
      </c>
      <c r="B1" s="4"/>
      <c r="C1" s="4"/>
      <c r="D1" s="4"/>
      <c r="E1" s="4"/>
      <c r="F1" s="4"/>
      <c r="G1" s="4"/>
    </row>
    <row r="3" customFormat="false" ht="36" hidden="false" customHeight="true" outlineLevel="0" collapsed="false">
      <c r="A3" s="5" t="s">
        <v>98</v>
      </c>
      <c r="B3" s="6" t="s">
        <v>47</v>
      </c>
      <c r="C3" s="6" t="s">
        <v>48</v>
      </c>
      <c r="D3" s="6" t="s">
        <v>49</v>
      </c>
      <c r="E3" s="6" t="s">
        <v>50</v>
      </c>
      <c r="F3" s="6" t="s">
        <v>51</v>
      </c>
      <c r="G3" s="6" t="s">
        <v>52</v>
      </c>
    </row>
    <row r="5" customFormat="false" ht="21.75" hidden="false" customHeight="true" outlineLevel="0" collapsed="false">
      <c r="A5" s="7" t="s">
        <v>99</v>
      </c>
      <c r="B5" s="8"/>
      <c r="C5" s="8"/>
      <c r="D5" s="8"/>
      <c r="E5" s="8"/>
      <c r="F5" s="8"/>
      <c r="G5" s="8"/>
    </row>
    <row r="6" customFormat="false" ht="15" hidden="false" customHeight="false" outlineLevel="0" collapsed="false">
      <c r="A6" s="3" t="s">
        <v>100</v>
      </c>
      <c r="B6" s="25" t="n">
        <v>4529.59044287438</v>
      </c>
      <c r="C6" s="25" t="n">
        <v>4811.50747825836</v>
      </c>
      <c r="D6" s="25" t="n">
        <v>4400.81694305156</v>
      </c>
      <c r="E6" s="25" t="n">
        <v>4561.5861933462</v>
      </c>
      <c r="F6" s="26" t="n">
        <v>4837.16389644795</v>
      </c>
      <c r="G6" s="27" t="n">
        <v>4388.70134664856</v>
      </c>
    </row>
    <row r="7" customFormat="false" ht="15" hidden="false" customHeight="false" outlineLevel="0" collapsed="false">
      <c r="A7" s="3" t="s">
        <v>101</v>
      </c>
      <c r="B7" s="15" t="n">
        <v>0.136</v>
      </c>
      <c r="C7" s="28" t="n">
        <v>0.141</v>
      </c>
      <c r="D7" s="28" t="n">
        <v>0.141</v>
      </c>
      <c r="E7" s="15" t="n">
        <v>0.106</v>
      </c>
      <c r="F7" s="15" t="n">
        <v>0.106</v>
      </c>
      <c r="G7" s="29" t="n">
        <v>0.061</v>
      </c>
    </row>
    <row r="8" customFormat="false" ht="15" hidden="false" customHeight="false" outlineLevel="0" collapsed="false">
      <c r="A8" s="3" t="s">
        <v>102</v>
      </c>
      <c r="B8" s="25" t="n">
        <v>491.007604007583</v>
      </c>
      <c r="C8" s="26" t="n">
        <v>540.212002121457</v>
      </c>
      <c r="D8" s="25" t="n">
        <v>494.101722281114</v>
      </c>
      <c r="E8" s="25" t="n">
        <v>388.419064363429</v>
      </c>
      <c r="F8" s="25" t="n">
        <v>266.769588889104</v>
      </c>
      <c r="G8" s="27" t="n">
        <v>220.641960202757</v>
      </c>
    </row>
    <row r="9" customFormat="false" ht="15" hidden="false" customHeight="false" outlineLevel="0" collapsed="false">
      <c r="A9" s="16" t="s">
        <v>103</v>
      </c>
      <c r="B9" s="30" t="n">
        <v>6554.24981838035</v>
      </c>
      <c r="C9" s="30" t="n">
        <v>7374.92899029812</v>
      </c>
      <c r="D9" s="30" t="n">
        <v>6436.09165937794</v>
      </c>
      <c r="E9" s="30" t="n">
        <v>5034.73055871945</v>
      </c>
      <c r="F9" s="30" t="n">
        <v>3253.0518221019</v>
      </c>
      <c r="G9" s="30" t="n">
        <v>2870.68930046977</v>
      </c>
    </row>
    <row r="10" customFormat="false" ht="15" hidden="false" customHeight="false" outlineLevel="0" collapsed="false">
      <c r="A10" s="16" t="s">
        <v>104</v>
      </c>
      <c r="B10" s="30" t="n">
        <v>5128.67310605158</v>
      </c>
      <c r="C10" s="30" t="n">
        <v>5949.35227796935</v>
      </c>
      <c r="D10" s="30" t="n">
        <v>5010.51494704917</v>
      </c>
      <c r="E10" s="30" t="n">
        <v>3609.15384639068</v>
      </c>
      <c r="F10" s="30" t="n">
        <v>1827.47510977313</v>
      </c>
      <c r="G10" s="30" t="n">
        <v>1445.112588141</v>
      </c>
    </row>
    <row r="11" customFormat="false" ht="17.35" hidden="false" customHeight="false" outlineLevel="0" collapsed="false">
      <c r="A11" s="16" t="s">
        <v>105</v>
      </c>
      <c r="B11" s="31" t="n">
        <v>2.89755542714779</v>
      </c>
      <c r="C11" s="31" t="n">
        <v>3.36121597625387</v>
      </c>
      <c r="D11" s="31" t="n">
        <v>2.83079940511253</v>
      </c>
      <c r="E11" s="31" t="n">
        <v>2.03906996971225</v>
      </c>
      <c r="F11" s="31" t="n">
        <v>1.03247181343115</v>
      </c>
      <c r="G11" s="31" t="n">
        <v>0.81644778991017</v>
      </c>
    </row>
    <row r="12" customFormat="false" ht="15" hidden="false" customHeight="false" outlineLevel="0" collapsed="false">
      <c r="A12" s="3" t="s">
        <v>106</v>
      </c>
      <c r="B12" s="15" t="n">
        <v>-0.197353067272081</v>
      </c>
      <c r="C12" s="28" t="n">
        <v>-0.068915242034939</v>
      </c>
      <c r="D12" s="15" t="n">
        <v>-0.215845040135035</v>
      </c>
      <c r="E12" s="15" t="n">
        <v>-0.435160673209903</v>
      </c>
      <c r="F12" s="15" t="n">
        <v>-0.713996727581399</v>
      </c>
      <c r="G12" s="29" t="n">
        <v>-0.773837177310202</v>
      </c>
    </row>
    <row r="14" customFormat="false" ht="21.75" hidden="false" customHeight="true" outlineLevel="0" collapsed="false">
      <c r="A14" s="7" t="s">
        <v>107</v>
      </c>
      <c r="B14" s="8"/>
      <c r="C14" s="8"/>
      <c r="D14" s="8"/>
      <c r="E14" s="8"/>
      <c r="F14" s="8"/>
      <c r="G14" s="8"/>
    </row>
    <row r="15" customFormat="false" ht="15" hidden="false" customHeight="false" outlineLevel="0" collapsed="false">
      <c r="A15" s="3" t="s">
        <v>100</v>
      </c>
      <c r="B15" s="25" t="n">
        <v>4529.59044287438</v>
      </c>
      <c r="C15" s="25" t="n">
        <v>4811.50747825836</v>
      </c>
      <c r="D15" s="25" t="n">
        <v>4400.81694305156</v>
      </c>
      <c r="E15" s="25" t="n">
        <v>4561.5861933462</v>
      </c>
      <c r="F15" s="25" t="n">
        <v>4837.16389644795</v>
      </c>
      <c r="G15" s="25" t="n">
        <v>4388.70134664856</v>
      </c>
    </row>
    <row r="16" customFormat="false" ht="15" hidden="false" customHeight="false" outlineLevel="0" collapsed="false">
      <c r="A16" s="3" t="s">
        <v>101</v>
      </c>
      <c r="B16" s="15" t="n">
        <v>0.151</v>
      </c>
      <c r="C16" s="15" t="n">
        <v>0.156</v>
      </c>
      <c r="D16" s="15" t="n">
        <v>0.156</v>
      </c>
      <c r="E16" s="15" t="n">
        <v>0.121</v>
      </c>
      <c r="F16" s="15" t="n">
        <v>0.121</v>
      </c>
      <c r="G16" s="15" t="n">
        <v>0.076</v>
      </c>
    </row>
    <row r="17" customFormat="false" ht="15" hidden="false" customHeight="false" outlineLevel="0" collapsed="false">
      <c r="A17" s="3" t="s">
        <v>102</v>
      </c>
      <c r="B17" s="25" t="n">
        <v>543.664092905997</v>
      </c>
      <c r="C17" s="25" t="n">
        <v>596.14577655621</v>
      </c>
      <c r="D17" s="25" t="n">
        <v>545.261219244088</v>
      </c>
      <c r="E17" s="25" t="n">
        <v>441.447503861078</v>
      </c>
      <c r="F17" s="25" t="n">
        <v>323.001619185312</v>
      </c>
      <c r="G17" s="25" t="n">
        <v>271.660613357546</v>
      </c>
    </row>
    <row r="18" customFormat="false" ht="15" hidden="false" customHeight="false" outlineLevel="0" collapsed="false">
      <c r="A18" s="3" t="s">
        <v>103</v>
      </c>
      <c r="B18" s="25" t="n">
        <v>7131.51658616563</v>
      </c>
      <c r="C18" s="25" t="n">
        <v>8009.88289034672</v>
      </c>
      <c r="D18" s="25" t="n">
        <v>6978.2380255468</v>
      </c>
      <c r="E18" s="25" t="n">
        <v>5596.33419822862</v>
      </c>
      <c r="F18" s="25" t="n">
        <v>3810.48864024201</v>
      </c>
      <c r="G18" s="25" t="n">
        <v>3411.36901300427</v>
      </c>
    </row>
    <row r="19" customFormat="false" ht="15" hidden="false" customHeight="false" outlineLevel="0" collapsed="false">
      <c r="A19" s="3" t="s">
        <v>105</v>
      </c>
      <c r="B19" s="32" t="n">
        <v>3.22369484397563</v>
      </c>
      <c r="C19" s="32" t="n">
        <v>3.71994699323048</v>
      </c>
      <c r="D19" s="32" t="n">
        <v>3.13709678712883</v>
      </c>
      <c r="E19" s="32" t="n">
        <v>2.35636016152534</v>
      </c>
      <c r="F19" s="32" t="n">
        <v>1.34740786887754</v>
      </c>
      <c r="G19" s="32" t="n">
        <v>1.12191655405396</v>
      </c>
    </row>
    <row r="21" customFormat="false" ht="21.75" hidden="false" customHeight="true" outlineLevel="0" collapsed="false">
      <c r="A21" s="7" t="s">
        <v>108</v>
      </c>
      <c r="B21" s="8"/>
      <c r="C21" s="8"/>
      <c r="D21" s="8"/>
      <c r="E21" s="8"/>
      <c r="F21" s="8"/>
      <c r="G21" s="8"/>
    </row>
    <row r="22" customFormat="false" ht="15" hidden="false" customHeight="false" outlineLevel="0" collapsed="false">
      <c r="A22" s="3" t="s">
        <v>109</v>
      </c>
      <c r="B22" s="9" t="n">
        <v>-0.015</v>
      </c>
      <c r="C22" s="9" t="n">
        <v>-0.015</v>
      </c>
      <c r="D22" s="9" t="n">
        <v>-0.015</v>
      </c>
      <c r="E22" s="9" t="n">
        <v>-0.015</v>
      </c>
      <c r="F22" s="9" t="n">
        <v>-0.015</v>
      </c>
      <c r="G22" s="9" t="n">
        <v>-0.015</v>
      </c>
    </row>
    <row r="23" customFormat="false" ht="15" hidden="false" customHeight="false" outlineLevel="0" collapsed="false">
      <c r="A23" s="3" t="s">
        <v>110</v>
      </c>
      <c r="B23" s="32" t="n">
        <v>-0.326139416827845</v>
      </c>
      <c r="C23" s="33" t="n">
        <v>-0.35873101697661</v>
      </c>
      <c r="D23" s="32" t="n">
        <v>-0.306297382016307</v>
      </c>
      <c r="E23" s="32" t="n">
        <v>-0.317290191813093</v>
      </c>
      <c r="F23" s="32" t="n">
        <v>-0.31493605544639</v>
      </c>
      <c r="G23" s="34" t="n">
        <v>-0.305468764143789</v>
      </c>
    </row>
    <row r="24" customFormat="false" ht="15" hidden="false" customHeight="false" outlineLevel="0" collapsed="false">
      <c r="A24" s="3" t="s">
        <v>111</v>
      </c>
      <c r="B24" s="15" t="n">
        <v>-0.101169444569894</v>
      </c>
      <c r="C24" s="28" t="n">
        <v>-0.0964344431868047</v>
      </c>
      <c r="D24" s="15" t="n">
        <v>-0.0976372113455383</v>
      </c>
      <c r="E24" s="15" t="n">
        <v>-0.134652671944556</v>
      </c>
      <c r="F24" s="15" t="n">
        <v>-0.233734760439501</v>
      </c>
      <c r="G24" s="29" t="n">
        <v>-0.27227405018671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7" min="2" style="0" width="14"/>
  </cols>
  <sheetData>
    <row r="1" customFormat="false" ht="16.15" hidden="false" customHeight="false" outlineLevel="0" collapsed="false">
      <c r="A1" s="4" t="s">
        <v>112</v>
      </c>
      <c r="B1" s="4"/>
      <c r="C1" s="4"/>
      <c r="D1" s="4"/>
      <c r="E1" s="4"/>
      <c r="F1" s="4"/>
      <c r="G1" s="4"/>
    </row>
    <row r="3" customFormat="false" ht="36" hidden="false" customHeight="true" outlineLevel="0" collapsed="false">
      <c r="A3" s="8"/>
      <c r="B3" s="6" t="s">
        <v>47</v>
      </c>
      <c r="C3" s="6" t="s">
        <v>48</v>
      </c>
      <c r="D3" s="6" t="s">
        <v>49</v>
      </c>
      <c r="E3" s="6" t="s">
        <v>50</v>
      </c>
      <c r="F3" s="6" t="s">
        <v>51</v>
      </c>
      <c r="G3" s="6" t="s">
        <v>52</v>
      </c>
    </row>
    <row r="5" customFormat="false" ht="21.75" hidden="false" customHeight="true" outlineLevel="0" collapsed="false">
      <c r="A5" s="7" t="s">
        <v>113</v>
      </c>
      <c r="B5" s="8"/>
      <c r="C5" s="8"/>
      <c r="D5" s="8"/>
      <c r="E5" s="8"/>
      <c r="F5" s="8"/>
      <c r="G5" s="8"/>
    </row>
    <row r="6" customFormat="false" ht="15" hidden="false" customHeight="false" outlineLevel="0" collapsed="false">
      <c r="A6" s="3" t="s">
        <v>114</v>
      </c>
      <c r="B6" s="32" t="n">
        <v>3.22369484397563</v>
      </c>
      <c r="C6" s="32" t="n">
        <v>3.71994699323048</v>
      </c>
      <c r="D6" s="32" t="n">
        <v>3.13709678712883</v>
      </c>
      <c r="E6" s="32" t="n">
        <v>2.35636016152534</v>
      </c>
      <c r="F6" s="32" t="n">
        <v>1.34740786887754</v>
      </c>
      <c r="G6" s="32" t="n">
        <v>1.12191655405396</v>
      </c>
    </row>
    <row r="7" customFormat="false" ht="15" hidden="false" customHeight="false" outlineLevel="0" collapsed="false">
      <c r="A7" s="16" t="s">
        <v>115</v>
      </c>
      <c r="B7" s="35" t="n">
        <v>2.89755542714779</v>
      </c>
      <c r="C7" s="35" t="n">
        <v>3.36121597625387</v>
      </c>
      <c r="D7" s="35" t="n">
        <v>2.83079940511253</v>
      </c>
      <c r="E7" s="35" t="n">
        <v>2.03906996971225</v>
      </c>
      <c r="F7" s="35" t="n">
        <v>1.03247181343115</v>
      </c>
      <c r="G7" s="35" t="n">
        <v>0.81644778991017</v>
      </c>
    </row>
    <row r="8" customFormat="false" ht="15" hidden="false" customHeight="false" outlineLevel="0" collapsed="false">
      <c r="A8" s="3" t="s">
        <v>116</v>
      </c>
      <c r="B8" s="32" t="n">
        <v>-0.326139416827845</v>
      </c>
      <c r="C8" s="32" t="n">
        <v>-0.35873101697661</v>
      </c>
      <c r="D8" s="32" t="n">
        <v>-0.306297382016307</v>
      </c>
      <c r="E8" s="32" t="n">
        <v>-0.317290191813093</v>
      </c>
      <c r="F8" s="32" t="n">
        <v>-0.31493605544639</v>
      </c>
      <c r="G8" s="32" t="n">
        <v>-0.305468764143789</v>
      </c>
    </row>
    <row r="9" customFormat="false" ht="15" hidden="false" customHeight="false" outlineLevel="0" collapsed="false">
      <c r="A9" s="3" t="s">
        <v>117</v>
      </c>
      <c r="B9" s="15" t="n">
        <v>-0.101169444569894</v>
      </c>
      <c r="C9" s="15" t="n">
        <v>-0.0964344431868047</v>
      </c>
      <c r="D9" s="15" t="n">
        <v>-0.0976372113455383</v>
      </c>
      <c r="E9" s="15" t="n">
        <v>-0.134652671944556</v>
      </c>
      <c r="F9" s="15" t="n">
        <v>-0.233734760439501</v>
      </c>
      <c r="G9" s="15" t="n">
        <v>-0.27227405018671</v>
      </c>
    </row>
    <row r="11" customFormat="false" ht="21.75" hidden="false" customHeight="true" outlineLevel="0" collapsed="false">
      <c r="A11" s="7" t="s">
        <v>118</v>
      </c>
      <c r="B11" s="8"/>
      <c r="C11" s="8"/>
      <c r="D11" s="8"/>
      <c r="E11" s="8"/>
      <c r="F11" s="8"/>
      <c r="G11" s="8"/>
    </row>
    <row r="12" customFormat="false" ht="60" hidden="false" customHeight="true" outlineLevel="0" collapsed="false">
      <c r="A12" s="36" t="s">
        <v>119</v>
      </c>
      <c r="B12" s="36"/>
      <c r="C12" s="36"/>
      <c r="D12" s="36"/>
      <c r="E12" s="36"/>
      <c r="F12" s="36"/>
      <c r="G12" s="36"/>
    </row>
  </sheetData>
  <mergeCells count="2">
    <mergeCell ref="A1:G1"/>
    <mergeCell ref="A12:G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10"/>
  </cols>
  <sheetData>
    <row r="1" customFormat="false" ht="16.15" hidden="false" customHeight="false" outlineLevel="0" collapsed="false">
      <c r="A1" s="4" t="s">
        <v>120</v>
      </c>
      <c r="B1" s="4"/>
    </row>
    <row r="3" customFormat="false" ht="15" hidden="false" customHeight="false" outlineLevel="0" collapsed="false">
      <c r="A3" s="5" t="s">
        <v>121</v>
      </c>
      <c r="B3" s="5" t="s">
        <v>122</v>
      </c>
    </row>
    <row r="4" customFormat="false" ht="54.75" hidden="false" customHeight="true" outlineLevel="0" collapsed="false">
      <c r="A4" s="16" t="s">
        <v>123</v>
      </c>
      <c r="B4" s="3" t="s">
        <v>124</v>
      </c>
    </row>
    <row r="5" customFormat="false" ht="54.75" hidden="false" customHeight="true" outlineLevel="0" collapsed="false">
      <c r="A5" s="16" t="s">
        <v>125</v>
      </c>
      <c r="B5" s="3" t="s">
        <v>126</v>
      </c>
    </row>
    <row r="6" customFormat="false" ht="54.75" hidden="false" customHeight="true" outlineLevel="0" collapsed="false">
      <c r="A6" s="16" t="s">
        <v>127</v>
      </c>
      <c r="B6" s="3" t="s">
        <v>128</v>
      </c>
    </row>
    <row r="7" customFormat="false" ht="54.75" hidden="false" customHeight="true" outlineLevel="0" collapsed="false">
      <c r="A7" s="16" t="s">
        <v>129</v>
      </c>
      <c r="B7" s="3" t="s">
        <v>130</v>
      </c>
    </row>
    <row r="8" customFormat="false" ht="54.75" hidden="false" customHeight="true" outlineLevel="0" collapsed="false">
      <c r="A8" s="16" t="s">
        <v>131</v>
      </c>
      <c r="B8" s="3" t="s">
        <v>132</v>
      </c>
    </row>
    <row r="9" customFormat="false" ht="54.75" hidden="false" customHeight="true" outlineLevel="0" collapsed="false">
      <c r="A9" s="16" t="s">
        <v>133</v>
      </c>
      <c r="B9" s="3" t="s">
        <v>134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2026-05-29T01:23:41Z</dcterms:created>
  <dc:creator>openpyxl</dc:creator>
  <dc:description/>
  <dc:language>en-US</dc:language>
  <cp:lastModifiedBy/>
  <dcterms:modified xsi:type="dcterms:W3CDTF">2026-05-29T01:23:41Z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