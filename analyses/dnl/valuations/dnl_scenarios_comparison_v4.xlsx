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puts" sheetId="2" state="visible" r:id="rId4"/>
    <sheet name="WACC" sheetId="3" state="visible" r:id="rId5"/>
    <sheet name="DCF Outputs" sheetId="4" state="visible" r:id="rId6"/>
    <sheet name="Asymmetry" sheetId="5" state="visible" r:id="rId7"/>
    <sheet name="Scenario Rational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<sst xmlns="http://schemas.openxmlformats.org/spreadsheetml/2006/main" count="164" uniqueCount="150">
  <si>
    <t xml:space="preserve">DNL Scenario Comparison v4 — full methodology (9 June 2026)</t>
  </si>
  <si>
    <t xml:space="preserve">v4 methodology applied:</t>
  </si>
  <si>
    <t xml:space="preserve">  Base EBIT (Q1)</t>
  </si>
  <si>
    <t xml:space="preserve">AUD 480m (corporate already in segment guidance per slides 27-28)</t>
  </si>
  <si>
    <t xml:space="preserve">  Margin glide (Q2/Q3)</t>
  </si>
  <si>
    <t xml:space="preserve">+60 / +180 / +200 bps Y1-Y3 cum (reconciled to exit run rate AUD 495-525m)</t>
  </si>
  <si>
    <t xml:space="preserve">  Gas roll-off overlay</t>
  </si>
  <si>
    <t xml:space="preserve">0 / 0 / -50 / -100 / -150 bps Y1-Y5 cum (methodology section 3.2.1)</t>
  </si>
  <si>
    <t xml:space="preserve">  Tax glide (section 3.6)</t>
  </si>
  <si>
    <t xml:space="preserve">Effective 22.5% (Y1) -&gt; blended statutory 27.5% (Y5/terminal), linear</t>
  </si>
  <si>
    <t xml:space="preserve">  WACC</t>
  </si>
  <si>
    <t xml:space="preserve">Single 8.28% across all scenarios (section 3.5). World-index beta 0.95 (section ii). Hamada with blended statutory tax shield (consistency)</t>
  </si>
  <si>
    <t xml:space="preserve">  Company position (section 3.3)</t>
  </si>
  <si>
    <t xml:space="preserve">Five Forces spine: rivalry/competitive position -30bps + rivalry/product mix -10bps + new entrants/DNEL +15bps = -25bps net</t>
  </si>
  <si>
    <t xml:space="preserve">  Equity bridge (Q7)</t>
  </si>
  <si>
    <t xml:space="preserve">Full Fertilisers separation map (slide 29): IPF Distribution / Geelong / Gibson Island / Perdaman / Phosphate Hill ARO + contingent</t>
  </si>
  <si>
    <t xml:space="preserve">  Period A walk (Q6/Q8)</t>
  </si>
  <si>
    <t xml:space="preserve">OCF AUD 500m underlying (was AUD 290m); no buyback adjustment</t>
  </si>
  <si>
    <t xml:space="preserve">Headline result:</t>
  </si>
  <si>
    <t xml:space="preserve">Muddle Through AUD 3.59/share (-0.5% vs market AUD 3.61) -- central case essentially at market</t>
  </si>
  <si>
    <t xml:space="preserve">Framework discriminating power:</t>
  </si>
  <si>
    <t xml:space="preserve">Now lives in scenario asymmetry around Muddle Through, not in central-case disagreement</t>
  </si>
  <si>
    <t xml:space="preserve">Tabs:</t>
  </si>
  <si>
    <t xml:space="preserve">  Inputs</t>
  </si>
  <si>
    <t xml:space="preserve">Scenario macro + scenario-conditional deltas + Five Forces decomposition</t>
  </si>
  <si>
    <t xml:space="preserve">Single component build (constant across scenarios)</t>
  </si>
  <si>
    <t xml:space="preserve">  DCF Outputs</t>
  </si>
  <si>
    <t xml:space="preserve">EV / equity / per share / terminal share</t>
  </si>
  <si>
    <t xml:space="preserve">  Asymmetry</t>
  </si>
  <si>
    <t xml:space="preserve">Per-share vs Muddle Through; downside/upside ratio</t>
  </si>
  <si>
    <t xml:space="preserve">  Scenario Rationale</t>
  </si>
  <si>
    <t xml:space="preserve">One-paragraph per scenario</t>
  </si>
  <si>
    <t xml:space="preserve">Methodology cross-references:</t>
  </si>
  <si>
    <t xml:space="preserve">  Equity bridge &amp; valuation mechanics</t>
  </si>
  <si>
    <t xml:space="preserve">design/methodology/equity_bridge_and_valuation_mechanics.md</t>
  </si>
  <si>
    <t xml:space="preserve">  Architecture spec</t>
  </si>
  <si>
    <t xml:space="preserve">design/architecture.md v0.4</t>
  </si>
  <si>
    <t xml:space="preserve">  DNL worked example</t>
  </si>
  <si>
    <t xml:space="preserve">analyses/dnl/valuations/dnl_muddle_through_valuation_v4_5forces.xlsx</t>
  </si>
  <si>
    <t xml:space="preserve">Constants:</t>
  </si>
  <si>
    <t xml:space="preserve">  Applied WACC</t>
  </si>
  <si>
    <t xml:space="preserve">8.28%</t>
  </si>
  <si>
    <t xml:space="preserve">  Blended statutory tax</t>
  </si>
  <si>
    <t xml:space="preserve">27.5%</t>
  </si>
  <si>
    <t xml:space="preserve">  DNL company-position offset (net)</t>
  </si>
  <si>
    <t xml:space="preserve">-0.25%</t>
  </si>
  <si>
    <t xml:space="preserve">  Market reference (21 May 2026)</t>
  </si>
  <si>
    <t xml:space="preserve">Share price AUD 3.61, consensus target AUD 3.61</t>
  </si>
  <si>
    <t xml:space="preserve">Scenario inputs — v4 with Five Forces decomposition</t>
  </si>
  <si>
    <t xml:space="preserve">Input</t>
  </si>
  <si>
    <t xml:space="preserve">Muddle
Through</t>
  </si>
  <si>
    <t xml:space="preserve">Orderly
Convergence</t>
  </si>
  <si>
    <t xml:space="preserve">AI Prod.
Lag</t>
  </si>
  <si>
    <t xml:space="preserve">Fragmen-
tation</t>
  </si>
  <si>
    <t xml:space="preserve">Disorderly
Climate</t>
  </si>
  <si>
    <t xml:space="preserve">Stagflation
Persists</t>
  </si>
  <si>
    <t xml:space="preserve">SCENARIO MACRO BASELINE</t>
  </si>
  <si>
    <t xml:space="preserve">DM real GDP</t>
  </si>
  <si>
    <t xml:space="preserve">DM inflation</t>
  </si>
  <si>
    <t xml:space="preserve">Global mining real growth</t>
  </si>
  <si>
    <t xml:space="preserve">Gas price growth</t>
  </si>
  <si>
    <t xml:space="preserve">SCENARIO-CONDITIONAL DELTAS</t>
  </si>
  <si>
    <t xml:space="preserve">Margin delta (pp; gross/SG&amp;A/input-cost net)</t>
  </si>
  <si>
    <t xml:space="preserve">Terminal growth delta (bps)</t>
  </si>
  <si>
    <t xml:space="preserve">Capex delta (climate scenario; pp)</t>
  </si>
  <si>
    <t xml:space="preserve">DNL COMPANY POSITION (Five Forces; section 3.3) — same all scenarios</t>
  </si>
  <si>
    <t xml:space="preserve">  Buyer power</t>
  </si>
  <si>
    <t xml:space="preserve">industry: HIGH (binding) | DNL: at average | mechanism: same mining-major customer mix as Orica | Δ: 0</t>
  </si>
  <si>
    <t xml:space="preserve">  Supplier power</t>
  </si>
  <si>
    <t xml:space="preserve">industry: MODERATE | DNL: LOWER (favourable) | US gas contracts through 2028 | captured via gas roll-off overlay</t>
  </si>
  <si>
    <t xml:space="preserve">  New entrants</t>
  </si>
  <si>
    <t xml:space="preserve">industry: LOW | DNL: LOWER in EM (favourable) | DNEL ramp LATAM/Africa | Δ: +15bps growth</t>
  </si>
  <si>
    <t xml:space="preserve">  Substitutes</t>
  </si>
  <si>
    <t xml:space="preserve">industry: LOW | DNL: at average | intra-industry tech sub affects all players | Δ: 0</t>
  </si>
  <si>
    <t xml:space="preserve">  Rivalry: competitive position</t>
  </si>
  <si>
    <t xml:space="preserve">industry: MODERATE | DNL: HIGHER (unfavourable) | #2 vs Orica #1 scale + tech lead | Δ: -30bps growth</t>
  </si>
  <si>
    <t xml:space="preserve">  Rivalry: product-mix</t>
  </si>
  <si>
    <t xml:space="preserve">more bulk-ANFO weighted; less electronic detonator exposure | Δ: -10bps growth</t>
  </si>
  <si>
    <t xml:space="preserve">NET DNL company-position offset</t>
  </si>
  <si>
    <t xml:space="preserve">-25bps (= -30 + -10 + 15 + 0 + 0 + 0)</t>
  </si>
  <si>
    <t xml:space="preserve">DERIVED FROM CHAIN (per methodology section 2)</t>
  </si>
  <si>
    <t xml:space="preserve">DNL nominal revenue growth (applied)</t>
  </si>
  <si>
    <t xml:space="preserve">Year 5 EBIT margin (with gas roll-off)</t>
  </si>
  <si>
    <t xml:space="preserve">WACC — single build applied to all scenarios (methodology section 3.5)</t>
  </si>
  <si>
    <t xml:space="preserve">Component</t>
  </si>
  <si>
    <t xml:space="preserve">Value</t>
  </si>
  <si>
    <t xml:space="preserve">Notes</t>
  </si>
  <si>
    <t xml:space="preserve">Risk-free rate (Rf)</t>
  </si>
  <si>
    <t xml:space="preserve">10Y on-the-run CGS YTM (May 2026)</t>
  </si>
  <si>
    <t xml:space="preserve">Equity risk premium (ERP)</t>
  </si>
  <si>
    <t xml:space="preserve">Mature-Australia</t>
  </si>
  <si>
    <t xml:space="preserve">Beta (world-index, Hamada re-levered)</t>
  </si>
  <si>
    <t xml:space="preserve">World-index basis per WACC convention (ii)</t>
  </si>
  <si>
    <t xml:space="preserve">Cost of equity (CAPM)</t>
  </si>
  <si>
    <t xml:space="preserve">Re = Rf + Beta x ERP</t>
  </si>
  <si>
    <t xml:space="preserve">Cost of debt, pre-tax</t>
  </si>
  <si>
    <t xml:space="preserve">BBB spread ~170bps</t>
  </si>
  <si>
    <t xml:space="preserve">Tax rate (blended statutory; consistency)</t>
  </si>
  <si>
    <t xml:space="preserve">Single rate principle (section 3.6)</t>
  </si>
  <si>
    <t xml:space="preserve">Cost of debt, after-tax</t>
  </si>
  <si>
    <t xml:space="preserve">Equity market value (E)</t>
  </si>
  <si>
    <t xml:space="preserve">Debt market value (D)</t>
  </si>
  <si>
    <t xml:space="preserve">E/V</t>
  </si>
  <si>
    <t xml:space="preserve">D/V</t>
  </si>
  <si>
    <t xml:space="preserve">Applied WACC</t>
  </si>
  <si>
    <t xml:space="preserve">Constant across scenarios; per methodology 3.5</t>
  </si>
  <si>
    <t xml:space="preserve">DCF outputs — v4 across all scenarios</t>
  </si>
  <si>
    <t xml:space="preserve">Output</t>
  </si>
  <si>
    <t xml:space="preserve">DRIVERS (year 5)</t>
  </si>
  <si>
    <t xml:space="preserve">Revenue Y5 (AUD m)</t>
  </si>
  <si>
    <t xml:space="preserve">EBIT margin Y5</t>
  </si>
  <si>
    <t xml:space="preserve">EBIT Y5 (AUD m)</t>
  </si>
  <si>
    <t xml:space="preserve">FCFF Y5 (AUD m)</t>
  </si>
  <si>
    <t xml:space="preserve">DISCOUNTING</t>
  </si>
  <si>
    <t xml:space="preserve">Applied WACC (constant)</t>
  </si>
  <si>
    <t xml:space="preserve">Applied terminal growth</t>
  </si>
  <si>
    <t xml:space="preserve">VALUATION</t>
  </si>
  <si>
    <t xml:space="preserve">Enterprise value</t>
  </si>
  <si>
    <t xml:space="preserve">Terminal share of EV</t>
  </si>
  <si>
    <t xml:space="preserve">Net debt at val date</t>
  </si>
  <si>
    <t xml:space="preserve">Equity bridge (net)</t>
  </si>
  <si>
    <t xml:space="preserve">Equity value</t>
  </si>
  <si>
    <t xml:space="preserve">PER SHARE</t>
  </si>
  <si>
    <t xml:space="preserve">Value per share</t>
  </si>
  <si>
    <t xml:space="preserve">vs market AUD 3.61</t>
  </si>
  <si>
    <t xml:space="preserve">vs Muddle Through</t>
  </si>
  <si>
    <t xml:space="preserve">Per-share asymmetry around Muddle Through</t>
  </si>
  <si>
    <t xml:space="preserve">PER-SHARE COMPARISON</t>
  </si>
  <si>
    <t xml:space="preserve">Δ vs Muddle Through (AUD)</t>
  </si>
  <si>
    <t xml:space="preserve">Δ vs Muddle Through (%)</t>
  </si>
  <si>
    <t xml:space="preserve">ASYMMETRY METRICS</t>
  </si>
  <si>
    <t xml:space="preserve">Upside (Orderly - MT)</t>
  </si>
  <si>
    <t xml:space="preserve">Worst downside (MT - Stagflation)</t>
  </si>
  <si>
    <t xml:space="preserve">Downside / upside ratio</t>
  </si>
  <si>
    <t xml:space="preserve">Negative asymmetry preserved: downside compression &gt; upside lift. Central case essentially at market; framework discriminating power lives in this asymmetry rather than in central-case disagreement.</t>
  </si>
  <si>
    <t xml:space="preserve">Scenario rationale</t>
  </si>
  <si>
    <t xml:space="preserve">Scenario</t>
  </si>
  <si>
    <t xml:space="preserve">Rationale</t>
  </si>
  <si>
    <t xml:space="preserve">Muddle Through
(Interior, most-likely)</t>
  </si>
  <si>
    <t xml:space="preserve">Mining-customer capex cycle continues at current pace.</t>
  </si>
  <si>
    <t xml:space="preserve">Orderly Convergence
(Upside boundary)</t>
  </si>
  <si>
    <t xml:space="preserve">Productivity acceleration + ordered geopolitics.</t>
  </si>
  <si>
    <t xml:space="preserve">AI Productivity Lag
(Technology-downside boundary)</t>
  </si>
  <si>
    <t xml:space="preserve">AI fails to deliver economy-wide TFP.</t>
  </si>
  <si>
    <t xml:space="preserve">Fragmentation
(Geopolitical-downside boundary)</t>
  </si>
  <si>
    <t xml:space="preserve">Trade fragmentation + resource nationalism.</t>
  </si>
  <si>
    <t xml:space="preserve">Disorderly Climate
(Climate-downside boundary)</t>
  </si>
  <si>
    <t xml:space="preserve">Disorderly climate: carbon costs accelerate, capex demands.</t>
  </si>
  <si>
    <t xml:space="preserve">Stagflation Persists
(Macro-downside boundary)</t>
  </si>
  <si>
    <t xml:space="preserve">Persistent stagflation: weak growth, high inflation, high gas costs.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</si>
</sst>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%;\(0.00%\);\-"/>
    <numFmt numFmtId="166" formatCode="\+#,##0&quot; bps&quot;;\-#,##0&quot; bps&quot;;&quot;- bps&quot;"/>
    <numFmt numFmtId="167" formatCode="0.0%;\(0.0%\);\-"/>
    <numFmt numFmtId="168" formatCode="0.00"/>
    <numFmt numFmtId="169" formatCode="#,##0;\(#,##0\);\-"/>
    <numFmt numFmtId="170" formatCode="&quot;AUD &quot;#,##0.00;&quot;(AUD &quot;#,##0.00\);\-"/>
    <numFmt numFmtId="171" formatCode="0.0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4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D9E1F2"/>
      </patternFill>
    </fill>
    <fill>
      <patternFill patternType="solid">
        <fgColor rgb="FFFCE4E4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6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5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5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5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6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5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0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5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E4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85"/>
  </cols>
  <sheetData>
    <row r="1" customFormat="false" ht="19.7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  <c r="C3" s="3"/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2" t="s">
        <v>4</v>
      </c>
      <c r="C5" s="3" t="s">
        <v>5</v>
      </c>
    </row>
    <row r="6" customFormat="false" ht="15" hidden="false" customHeight="false" outlineLevel="0" collapsed="false">
      <c r="B6" s="2" t="s">
        <v>6</v>
      </c>
      <c r="C6" s="3" t="s">
        <v>7</v>
      </c>
    </row>
    <row r="7" customFormat="false" ht="15" hidden="false" customHeight="false" outlineLevel="0" collapsed="false">
      <c r="B7" s="2" t="s">
        <v>8</v>
      </c>
      <c r="C7" s="3" t="s">
        <v>9</v>
      </c>
    </row>
    <row r="8" customFormat="false" ht="26.85" hidden="false" customHeight="false" outlineLevel="0" collapsed="false">
      <c r="B8" s="2" t="s">
        <v>10</v>
      </c>
      <c r="C8" s="3" t="s">
        <v>11</v>
      </c>
    </row>
    <row r="9" customFormat="false" ht="26.85" hidden="false" customHeight="false" outlineLevel="0" collapsed="false">
      <c r="B9" s="2" t="s">
        <v>12</v>
      </c>
      <c r="C9" s="3" t="s">
        <v>13</v>
      </c>
    </row>
    <row r="10" customFormat="false" ht="26.85" hidden="false" customHeight="false" outlineLevel="0" collapsed="false">
      <c r="B10" s="2" t="s">
        <v>14</v>
      </c>
      <c r="C10" s="3" t="s">
        <v>15</v>
      </c>
    </row>
    <row r="11" customFormat="false" ht="15" hidden="false" customHeight="false" outlineLevel="0" collapsed="false">
      <c r="B11" s="2" t="s">
        <v>16</v>
      </c>
      <c r="C11" s="3" t="s">
        <v>17</v>
      </c>
    </row>
    <row r="12" customFormat="false" ht="15" hidden="false" customHeight="false" outlineLevel="0" collapsed="false">
      <c r="B12" s="2"/>
      <c r="C12" s="3"/>
    </row>
    <row r="13" customFormat="false" ht="26.85" hidden="false" customHeight="false" outlineLevel="0" collapsed="false">
      <c r="B13" s="2" t="s">
        <v>18</v>
      </c>
      <c r="C13" s="3" t="s">
        <v>19</v>
      </c>
    </row>
    <row r="14" customFormat="false" ht="26.85" hidden="false" customHeight="false" outlineLevel="0" collapsed="false">
      <c r="B14" s="2" t="s">
        <v>20</v>
      </c>
      <c r="C14" s="3" t="s">
        <v>21</v>
      </c>
    </row>
    <row r="15" customFormat="false" ht="15" hidden="false" customHeight="false" outlineLevel="0" collapsed="false">
      <c r="B15" s="2"/>
      <c r="C15" s="3"/>
    </row>
    <row r="16" customFormat="false" ht="15" hidden="false" customHeight="false" outlineLevel="0" collapsed="false">
      <c r="B16" s="2" t="s">
        <v>22</v>
      </c>
      <c r="C16" s="3"/>
    </row>
    <row r="17" customFormat="false" ht="15" hidden="false" customHeight="false" outlineLevel="0" collapsed="false">
      <c r="B17" s="2" t="s">
        <v>23</v>
      </c>
      <c r="C17" s="3" t="s">
        <v>24</v>
      </c>
    </row>
    <row r="18" customFormat="false" ht="15" hidden="false" customHeight="false" outlineLevel="0" collapsed="false">
      <c r="B18" s="2" t="s">
        <v>10</v>
      </c>
      <c r="C18" s="3" t="s">
        <v>25</v>
      </c>
    </row>
    <row r="19" customFormat="false" ht="15" hidden="false" customHeight="false" outlineLevel="0" collapsed="false">
      <c r="B19" s="2" t="s">
        <v>26</v>
      </c>
      <c r="C19" s="3" t="s">
        <v>27</v>
      </c>
    </row>
    <row r="20" customFormat="false" ht="15" hidden="false" customHeight="false" outlineLevel="0" collapsed="false">
      <c r="B20" s="2" t="s">
        <v>28</v>
      </c>
      <c r="C20" s="3" t="s">
        <v>29</v>
      </c>
    </row>
    <row r="21" customFormat="false" ht="15" hidden="false" customHeight="false" outlineLevel="0" collapsed="false">
      <c r="B21" s="2" t="s">
        <v>30</v>
      </c>
      <c r="C21" s="3" t="s">
        <v>31</v>
      </c>
    </row>
    <row r="22" customFormat="false" ht="15" hidden="false" customHeight="false" outlineLevel="0" collapsed="false">
      <c r="B22" s="2"/>
      <c r="C22" s="3"/>
    </row>
    <row r="23" customFormat="false" ht="15" hidden="false" customHeight="false" outlineLevel="0" collapsed="false">
      <c r="B23" s="2" t="s">
        <v>32</v>
      </c>
      <c r="C23" s="3"/>
    </row>
    <row r="24" customFormat="false" ht="15" hidden="false" customHeight="false" outlineLevel="0" collapsed="false">
      <c r="B24" s="2" t="s">
        <v>33</v>
      </c>
      <c r="C24" s="3" t="s">
        <v>34</v>
      </c>
    </row>
    <row r="25" customFormat="false" ht="15" hidden="false" customHeight="false" outlineLevel="0" collapsed="false">
      <c r="B25" s="2" t="s">
        <v>35</v>
      </c>
      <c r="C25" s="3" t="s">
        <v>36</v>
      </c>
    </row>
    <row r="26" customFormat="false" ht="15" hidden="false" customHeight="false" outlineLevel="0" collapsed="false">
      <c r="B26" s="2" t="s">
        <v>37</v>
      </c>
      <c r="C26" s="3" t="s">
        <v>38</v>
      </c>
    </row>
    <row r="27" customFormat="false" ht="15" hidden="false" customHeight="false" outlineLevel="0" collapsed="false">
      <c r="B27" s="2"/>
      <c r="C27" s="3"/>
    </row>
    <row r="28" customFormat="false" ht="15" hidden="false" customHeight="false" outlineLevel="0" collapsed="false">
      <c r="B28" s="2" t="s">
        <v>39</v>
      </c>
      <c r="C28" s="3"/>
    </row>
    <row r="29" customFormat="false" ht="15" hidden="false" customHeight="false" outlineLevel="0" collapsed="false">
      <c r="B29" s="2" t="s">
        <v>40</v>
      </c>
      <c r="C29" s="3" t="s">
        <v>41</v>
      </c>
    </row>
    <row r="30" customFormat="false" ht="15" hidden="false" customHeight="false" outlineLevel="0" collapsed="false">
      <c r="B30" s="2" t="s">
        <v>42</v>
      </c>
      <c r="C30" s="3" t="s">
        <v>43</v>
      </c>
    </row>
    <row r="31" customFormat="false" ht="15" hidden="false" customHeight="false" outlineLevel="0" collapsed="false">
      <c r="B31" s="2" t="s">
        <v>44</v>
      </c>
      <c r="C31" s="3" t="s">
        <v>45</v>
      </c>
    </row>
    <row r="32" customFormat="false" ht="15" hidden="false" customHeight="false" outlineLevel="0" collapsed="false">
      <c r="B32" s="2" t="s">
        <v>46</v>
      </c>
      <c r="C32" s="3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4"/>
  </cols>
  <sheetData>
    <row r="1" customFormat="false" ht="16.15" hidden="false" customHeight="false" outlineLevel="0" collapsed="false">
      <c r="A1" s="4" t="s">
        <v>48</v>
      </c>
      <c r="B1" s="4"/>
      <c r="C1" s="4"/>
      <c r="D1" s="4"/>
      <c r="E1" s="4"/>
      <c r="F1" s="4"/>
      <c r="G1" s="4"/>
    </row>
    <row r="3" customFormat="false" ht="36" hidden="false" customHeight="true" outlineLevel="0" collapsed="false">
      <c r="A3" s="5" t="s">
        <v>49</v>
      </c>
      <c r="B3" s="6" t="s">
        <v>50</v>
      </c>
      <c r="C3" s="6" t="s">
        <v>51</v>
      </c>
      <c r="D3" s="6" t="s">
        <v>52</v>
      </c>
      <c r="E3" s="6" t="s">
        <v>53</v>
      </c>
      <c r="F3" s="6" t="s">
        <v>54</v>
      </c>
      <c r="G3" s="6" t="s">
        <v>55</v>
      </c>
    </row>
    <row r="5" customFormat="false" ht="21.75" hidden="false" customHeight="true" outlineLevel="0" collapsed="false">
      <c r="A5" s="7" t="s">
        <v>56</v>
      </c>
      <c r="B5" s="8"/>
      <c r="C5" s="8"/>
      <c r="D5" s="8"/>
      <c r="E5" s="8"/>
      <c r="F5" s="8"/>
      <c r="G5" s="8"/>
    </row>
    <row r="6" customFormat="false" ht="15" hidden="false" customHeight="false" outlineLevel="0" collapsed="false">
      <c r="A6" s="3" t="s">
        <v>57</v>
      </c>
      <c r="B6" s="9" t="n">
        <v>0.02</v>
      </c>
      <c r="C6" s="10" t="n">
        <v>0.025</v>
      </c>
      <c r="D6" s="9" t="n">
        <v>0.017</v>
      </c>
      <c r="E6" s="9" t="n">
        <v>0.01</v>
      </c>
      <c r="F6" s="9" t="n">
        <v>0.015</v>
      </c>
      <c r="G6" s="11" t="n">
        <v>0.005</v>
      </c>
    </row>
    <row r="7" customFormat="false" ht="15" hidden="false" customHeight="false" outlineLevel="0" collapsed="false">
      <c r="A7" s="3" t="s">
        <v>58</v>
      </c>
      <c r="B7" s="9" t="n">
        <v>0.025</v>
      </c>
      <c r="C7" s="11" t="n">
        <v>0.02</v>
      </c>
      <c r="D7" s="9" t="n">
        <v>0.025</v>
      </c>
      <c r="E7" s="9" t="n">
        <v>0.035</v>
      </c>
      <c r="F7" s="9" t="n">
        <v>0.035</v>
      </c>
      <c r="G7" s="10" t="n">
        <v>0.045</v>
      </c>
    </row>
    <row r="8" customFormat="false" ht="15" hidden="false" customHeight="false" outlineLevel="0" collapsed="false">
      <c r="A8" s="3" t="s">
        <v>59</v>
      </c>
      <c r="B8" s="9" t="n">
        <v>0.025</v>
      </c>
      <c r="C8" s="10" t="n">
        <v>0.04</v>
      </c>
      <c r="D8" s="9" t="n">
        <v>0.02</v>
      </c>
      <c r="E8" s="9" t="n">
        <v>0.015</v>
      </c>
      <c r="F8" s="9" t="n">
        <v>0.02</v>
      </c>
      <c r="G8" s="11" t="n">
        <v>0</v>
      </c>
    </row>
    <row r="9" customFormat="false" ht="15" hidden="false" customHeight="false" outlineLevel="0" collapsed="false">
      <c r="A9" s="3" t="s">
        <v>60</v>
      </c>
      <c r="B9" s="9" t="n">
        <v>0.02</v>
      </c>
      <c r="C9" s="11" t="n">
        <v>0.015</v>
      </c>
      <c r="D9" s="9" t="n">
        <v>0.02</v>
      </c>
      <c r="E9" s="9" t="n">
        <v>0.04</v>
      </c>
      <c r="F9" s="10" t="n">
        <v>0.06</v>
      </c>
      <c r="G9" s="9" t="n">
        <v>0.05</v>
      </c>
    </row>
    <row r="11" customFormat="false" ht="21.75" hidden="false" customHeight="true" outlineLevel="0" collapsed="false">
      <c r="A11" s="7" t="s">
        <v>61</v>
      </c>
      <c r="B11" s="8"/>
      <c r="C11" s="8"/>
      <c r="D11" s="8"/>
      <c r="E11" s="8"/>
      <c r="F11" s="8"/>
      <c r="G11" s="8"/>
    </row>
    <row r="12" customFormat="false" ht="15" hidden="false" customHeight="false" outlineLevel="0" collapsed="false">
      <c r="A12" s="3" t="s">
        <v>62</v>
      </c>
      <c r="B12" s="9" t="n">
        <v>0</v>
      </c>
      <c r="C12" s="10" t="n">
        <v>0.005</v>
      </c>
      <c r="D12" s="10" t="n">
        <v>0.005</v>
      </c>
      <c r="E12" s="9" t="n">
        <v>-0.03</v>
      </c>
      <c r="F12" s="9" t="n">
        <v>-0.03</v>
      </c>
      <c r="G12" s="11" t="n">
        <v>-0.075</v>
      </c>
    </row>
    <row r="13" customFormat="false" ht="15" hidden="false" customHeight="false" outlineLevel="0" collapsed="false">
      <c r="A13" s="3" t="s">
        <v>63</v>
      </c>
      <c r="B13" s="12" t="n">
        <v>0</v>
      </c>
      <c r="C13" s="13" t="n">
        <v>25</v>
      </c>
      <c r="D13" s="12" t="n">
        <v>-25</v>
      </c>
      <c r="E13" s="12" t="n">
        <v>-25</v>
      </c>
      <c r="F13" s="14" t="n">
        <v>-75</v>
      </c>
      <c r="G13" s="12" t="n">
        <v>-25</v>
      </c>
    </row>
    <row r="14" customFormat="false" ht="15" hidden="false" customHeight="false" outlineLevel="0" collapsed="false">
      <c r="A14" s="3" t="s">
        <v>64</v>
      </c>
      <c r="B14" s="11" t="n">
        <v>0</v>
      </c>
      <c r="C14" s="11" t="n">
        <v>0</v>
      </c>
      <c r="D14" s="11" t="n">
        <v>0</v>
      </c>
      <c r="E14" s="11" t="n">
        <v>0</v>
      </c>
      <c r="F14" s="10" t="n">
        <v>0.03</v>
      </c>
      <c r="G14" s="11" t="n">
        <v>0</v>
      </c>
    </row>
    <row r="16" customFormat="false" ht="21.75" hidden="false" customHeight="true" outlineLevel="0" collapsed="false">
      <c r="A16" s="7" t="s">
        <v>65</v>
      </c>
      <c r="B16" s="8"/>
      <c r="C16" s="8"/>
      <c r="D16" s="8"/>
      <c r="E16" s="8"/>
      <c r="F16" s="8"/>
      <c r="G16" s="8"/>
    </row>
    <row r="17" customFormat="false" ht="26.85" hidden="false" customHeight="true" outlineLevel="0" collapsed="false">
      <c r="A17" s="15" t="s">
        <v>66</v>
      </c>
      <c r="B17" s="16" t="s">
        <v>67</v>
      </c>
      <c r="C17" s="16"/>
      <c r="D17" s="16"/>
      <c r="E17" s="16"/>
      <c r="F17" s="16"/>
      <c r="G17" s="16"/>
    </row>
    <row r="18" customFormat="false" ht="26.85" hidden="false" customHeight="true" outlineLevel="0" collapsed="false">
      <c r="A18" s="15" t="s">
        <v>68</v>
      </c>
      <c r="B18" s="16" t="s">
        <v>69</v>
      </c>
      <c r="C18" s="16"/>
      <c r="D18" s="16"/>
      <c r="E18" s="16"/>
      <c r="F18" s="16"/>
      <c r="G18" s="16"/>
    </row>
    <row r="19" customFormat="false" ht="26.85" hidden="false" customHeight="true" outlineLevel="0" collapsed="false">
      <c r="A19" s="15" t="s">
        <v>70</v>
      </c>
      <c r="B19" s="16" t="s">
        <v>71</v>
      </c>
      <c r="C19" s="16"/>
      <c r="D19" s="16"/>
      <c r="E19" s="16"/>
      <c r="F19" s="16"/>
      <c r="G19" s="16"/>
    </row>
    <row r="20" customFormat="false" ht="15" hidden="false" customHeight="true" outlineLevel="0" collapsed="false">
      <c r="A20" s="15" t="s">
        <v>72</v>
      </c>
      <c r="B20" s="16" t="s">
        <v>73</v>
      </c>
      <c r="C20" s="16"/>
      <c r="D20" s="16"/>
      <c r="E20" s="16"/>
      <c r="F20" s="16"/>
      <c r="G20" s="16"/>
    </row>
    <row r="21" customFormat="false" ht="26.85" hidden="false" customHeight="true" outlineLevel="0" collapsed="false">
      <c r="A21" s="15" t="s">
        <v>74</v>
      </c>
      <c r="B21" s="16" t="s">
        <v>75</v>
      </c>
      <c r="C21" s="16"/>
      <c r="D21" s="16"/>
      <c r="E21" s="16"/>
      <c r="F21" s="16"/>
      <c r="G21" s="16"/>
    </row>
    <row r="22" customFormat="false" ht="15" hidden="false" customHeight="true" outlineLevel="0" collapsed="false">
      <c r="A22" s="15" t="s">
        <v>76</v>
      </c>
      <c r="B22" s="16" t="s">
        <v>77</v>
      </c>
      <c r="C22" s="16"/>
      <c r="D22" s="16"/>
      <c r="E22" s="16"/>
      <c r="F22" s="16"/>
      <c r="G22" s="16"/>
    </row>
    <row r="23" customFormat="false" ht="15" hidden="false" customHeight="false" outlineLevel="0" collapsed="false">
      <c r="A23" s="2" t="s">
        <v>78</v>
      </c>
      <c r="B23" s="17" t="s">
        <v>79</v>
      </c>
    </row>
    <row r="25" customFormat="false" ht="21.75" hidden="false" customHeight="true" outlineLevel="0" collapsed="false">
      <c r="A25" s="7" t="s">
        <v>80</v>
      </c>
      <c r="B25" s="8"/>
      <c r="C25" s="8"/>
      <c r="D25" s="8"/>
      <c r="E25" s="8"/>
      <c r="F25" s="8"/>
      <c r="G25" s="8"/>
    </row>
    <row r="26" customFormat="false" ht="15" hidden="false" customHeight="false" outlineLevel="0" collapsed="false">
      <c r="A26" s="18" t="s">
        <v>81</v>
      </c>
      <c r="B26" s="19" t="n">
        <v>0.06154887625</v>
      </c>
      <c r="C26" s="19" t="n">
        <v>0.07441525</v>
      </c>
      <c r="D26" s="19" t="n">
        <v>0.055457585</v>
      </c>
      <c r="E26" s="19" t="n">
        <v>0.06304083125</v>
      </c>
      <c r="F26" s="19" t="n">
        <v>0.0755559750000001</v>
      </c>
      <c r="G26" s="19" t="n">
        <v>0.05487718</v>
      </c>
    </row>
    <row r="27" customFormat="false" ht="15" hidden="false" customHeight="false" outlineLevel="0" collapsed="false">
      <c r="A27" s="18" t="s">
        <v>82</v>
      </c>
      <c r="B27" s="20" t="n">
        <v>0.146</v>
      </c>
      <c r="C27" s="20" t="n">
        <v>0.151</v>
      </c>
      <c r="D27" s="20" t="n">
        <v>0.151</v>
      </c>
      <c r="E27" s="20" t="n">
        <v>0.116</v>
      </c>
      <c r="F27" s="20" t="n">
        <v>0.116</v>
      </c>
      <c r="G27" s="20" t="n">
        <v>0.071</v>
      </c>
    </row>
  </sheetData>
  <mergeCells count="7">
    <mergeCell ref="A1:G1"/>
    <mergeCell ref="B17:G17"/>
    <mergeCell ref="B18:G18"/>
    <mergeCell ref="B19:G19"/>
    <mergeCell ref="B20:G20"/>
    <mergeCell ref="B21:G21"/>
    <mergeCell ref="B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4" t="s">
        <v>83</v>
      </c>
      <c r="B1" s="4"/>
      <c r="C1" s="4"/>
    </row>
    <row r="3" customFormat="false" ht="15" hidden="false" customHeight="false" outlineLevel="0" collapsed="false">
      <c r="A3" s="5" t="s">
        <v>84</v>
      </c>
      <c r="B3" s="6" t="s">
        <v>85</v>
      </c>
      <c r="C3" s="5" t="s">
        <v>86</v>
      </c>
    </row>
    <row r="4" customFormat="false" ht="15" hidden="false" customHeight="false" outlineLevel="0" collapsed="false">
      <c r="A4" s="15" t="s">
        <v>87</v>
      </c>
      <c r="B4" s="21" t="n">
        <v>0.043</v>
      </c>
      <c r="C4" s="15" t="s">
        <v>88</v>
      </c>
    </row>
    <row r="5" customFormat="false" ht="15" hidden="false" customHeight="false" outlineLevel="0" collapsed="false">
      <c r="A5" s="15" t="s">
        <v>89</v>
      </c>
      <c r="B5" s="21" t="n">
        <v>0.05</v>
      </c>
      <c r="C5" s="15" t="s">
        <v>90</v>
      </c>
    </row>
    <row r="6" customFormat="false" ht="15" hidden="false" customHeight="false" outlineLevel="0" collapsed="false">
      <c r="A6" s="15" t="s">
        <v>91</v>
      </c>
      <c r="B6" s="22" t="n">
        <v>0.95</v>
      </c>
      <c r="C6" s="15" t="s">
        <v>92</v>
      </c>
    </row>
    <row r="7" customFormat="false" ht="15" hidden="false" customHeight="false" outlineLevel="0" collapsed="false">
      <c r="A7" s="15" t="s">
        <v>93</v>
      </c>
      <c r="B7" s="19" t="n">
        <f aca="false">B4+B6*B5</f>
        <v>0.0905</v>
      </c>
      <c r="C7" s="15" t="s">
        <v>94</v>
      </c>
    </row>
    <row r="8" customFormat="false" ht="15" hidden="false" customHeight="false" outlineLevel="0" collapsed="false">
      <c r="A8" s="15" t="s">
        <v>95</v>
      </c>
      <c r="B8" s="21" t="n">
        <v>0.06</v>
      </c>
      <c r="C8" s="15" t="s">
        <v>96</v>
      </c>
    </row>
    <row r="9" customFormat="false" ht="15" hidden="false" customHeight="false" outlineLevel="0" collapsed="false">
      <c r="A9" s="15" t="s">
        <v>97</v>
      </c>
      <c r="B9" s="23" t="n">
        <v>0.275</v>
      </c>
      <c r="C9" s="15" t="s">
        <v>98</v>
      </c>
    </row>
    <row r="10" customFormat="false" ht="15" hidden="false" customHeight="false" outlineLevel="0" collapsed="false">
      <c r="A10" s="15" t="s">
        <v>99</v>
      </c>
      <c r="B10" s="19" t="n">
        <f aca="false">B8*(1-B9)</f>
        <v>0.0435</v>
      </c>
      <c r="C10" s="15"/>
    </row>
    <row r="11" customFormat="false" ht="15" hidden="false" customHeight="false" outlineLevel="0" collapsed="false">
      <c r="A11" s="15" t="s">
        <v>100</v>
      </c>
      <c r="B11" s="24" t="n">
        <v>6390</v>
      </c>
      <c r="C11" s="15"/>
    </row>
    <row r="12" customFormat="false" ht="15" hidden="false" customHeight="false" outlineLevel="0" collapsed="false">
      <c r="A12" s="15" t="s">
        <v>101</v>
      </c>
      <c r="B12" s="24" t="n">
        <v>1260.8</v>
      </c>
      <c r="C12" s="15"/>
    </row>
    <row r="13" customFormat="false" ht="15" hidden="false" customHeight="false" outlineLevel="0" collapsed="false">
      <c r="A13" s="15" t="s">
        <v>102</v>
      </c>
      <c r="B13" s="20" t="n">
        <f aca="false">B11/(B11+B12)</f>
        <v>0.835206775762012</v>
      </c>
      <c r="C13" s="15"/>
    </row>
    <row r="14" customFormat="false" ht="15" hidden="false" customHeight="false" outlineLevel="0" collapsed="false">
      <c r="A14" s="15" t="s">
        <v>103</v>
      </c>
      <c r="B14" s="20" t="n">
        <f aca="false">B12/(B11+B12)</f>
        <v>0.164793224237988</v>
      </c>
      <c r="C14" s="15"/>
    </row>
    <row r="15" customFormat="false" ht="15" hidden="false" customHeight="false" outlineLevel="0" collapsed="false">
      <c r="A15" s="2" t="s">
        <v>104</v>
      </c>
      <c r="B15" s="25" t="n">
        <f aca="false">B13*B7+B14*B10</f>
        <v>0.0827547184608145</v>
      </c>
      <c r="C15" s="15" t="s">
        <v>105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4"/>
  </cols>
  <sheetData>
    <row r="1" customFormat="false" ht="16.15" hidden="false" customHeight="false" outlineLevel="0" collapsed="false">
      <c r="A1" s="4" t="s">
        <v>106</v>
      </c>
      <c r="B1" s="4"/>
      <c r="C1" s="4"/>
      <c r="D1" s="4"/>
      <c r="E1" s="4"/>
      <c r="F1" s="4"/>
      <c r="G1" s="4"/>
    </row>
    <row r="3" customFormat="false" ht="36" hidden="false" customHeight="true" outlineLevel="0" collapsed="false">
      <c r="A3" s="5" t="s">
        <v>107</v>
      </c>
      <c r="B3" s="6" t="s">
        <v>50</v>
      </c>
      <c r="C3" s="6" t="s">
        <v>51</v>
      </c>
      <c r="D3" s="6" t="s">
        <v>52</v>
      </c>
      <c r="E3" s="6" t="s">
        <v>53</v>
      </c>
      <c r="F3" s="6" t="s">
        <v>54</v>
      </c>
      <c r="G3" s="6" t="s">
        <v>55</v>
      </c>
    </row>
    <row r="5" customFormat="false" ht="21.75" hidden="false" customHeight="true" outlineLevel="0" collapsed="false">
      <c r="A5" s="7" t="s">
        <v>108</v>
      </c>
      <c r="B5" s="8"/>
      <c r="C5" s="8"/>
      <c r="D5" s="8"/>
      <c r="E5" s="8"/>
      <c r="F5" s="8"/>
      <c r="G5" s="8"/>
    </row>
    <row r="6" customFormat="false" ht="15" hidden="false" customHeight="false" outlineLevel="0" collapsed="false">
      <c r="A6" s="3" t="s">
        <v>109</v>
      </c>
      <c r="B6" s="26" t="n">
        <v>4583.30640287258</v>
      </c>
      <c r="C6" s="26" t="n">
        <v>4867.87857885038</v>
      </c>
      <c r="D6" s="26" t="n">
        <v>4453.30913373167</v>
      </c>
      <c r="E6" s="26" t="n">
        <v>4615.6051282738</v>
      </c>
      <c r="F6" s="27" t="n">
        <v>4893.77505862254</v>
      </c>
      <c r="G6" s="28" t="n">
        <v>4441.07803242752</v>
      </c>
    </row>
    <row r="7" customFormat="false" ht="15" hidden="false" customHeight="false" outlineLevel="0" collapsed="false">
      <c r="A7" s="3" t="s">
        <v>110</v>
      </c>
      <c r="B7" s="29" t="n">
        <v>0.146</v>
      </c>
      <c r="C7" s="30" t="n">
        <v>0.151</v>
      </c>
      <c r="D7" s="30" t="n">
        <v>0.151</v>
      </c>
      <c r="E7" s="29" t="n">
        <v>0.116</v>
      </c>
      <c r="F7" s="29" t="n">
        <v>0.116</v>
      </c>
      <c r="G7" s="31" t="n">
        <v>0.071</v>
      </c>
    </row>
    <row r="8" customFormat="false" ht="15" hidden="false" customHeight="false" outlineLevel="0" collapsed="false">
      <c r="A8" s="3" t="s">
        <v>111</v>
      </c>
      <c r="B8" s="26" t="n">
        <v>669.162734819396</v>
      </c>
      <c r="C8" s="26" t="n">
        <v>735.049665406408</v>
      </c>
      <c r="D8" s="26" t="n">
        <v>672.449679193482</v>
      </c>
      <c r="E8" s="26" t="n">
        <v>535.41019487976</v>
      </c>
      <c r="F8" s="26" t="n">
        <v>567.677906800214</v>
      </c>
      <c r="G8" s="26" t="n">
        <v>315.316540302354</v>
      </c>
    </row>
    <row r="9" customFormat="false" ht="15" hidden="false" customHeight="false" outlineLevel="0" collapsed="false">
      <c r="A9" s="3" t="s">
        <v>112</v>
      </c>
      <c r="B9" s="26" t="n">
        <v>498.89290195268</v>
      </c>
      <c r="C9" s="27" t="n">
        <v>547.514643156197</v>
      </c>
      <c r="D9" s="26" t="n">
        <v>500.885944816469</v>
      </c>
      <c r="E9" s="26" t="n">
        <v>402.019206672647</v>
      </c>
      <c r="F9" s="26" t="n">
        <v>279.434555847347</v>
      </c>
      <c r="G9" s="28" t="n">
        <v>241.927725816489</v>
      </c>
    </row>
    <row r="11" customFormat="false" ht="21.75" hidden="false" customHeight="true" outlineLevel="0" collapsed="false">
      <c r="A11" s="7" t="s">
        <v>113</v>
      </c>
      <c r="B11" s="8"/>
      <c r="C11" s="8"/>
      <c r="D11" s="8"/>
      <c r="E11" s="8"/>
      <c r="F11" s="8"/>
      <c r="G11" s="8"/>
    </row>
    <row r="12" customFormat="false" ht="15" hidden="false" customHeight="false" outlineLevel="0" collapsed="false">
      <c r="A12" s="3" t="s">
        <v>114</v>
      </c>
      <c r="B12" s="9" t="n">
        <v>0.0827547184608145</v>
      </c>
      <c r="C12" s="9" t="n">
        <v>0.0827547184608145</v>
      </c>
      <c r="D12" s="9" t="n">
        <v>0.0827547184608145</v>
      </c>
      <c r="E12" s="9" t="n">
        <v>0.0827547184608145</v>
      </c>
      <c r="F12" s="9" t="n">
        <v>0.0827547184608145</v>
      </c>
      <c r="G12" s="9" t="n">
        <v>0.0827547184608145</v>
      </c>
    </row>
    <row r="13" customFormat="false" ht="15" hidden="false" customHeight="false" outlineLevel="0" collapsed="false">
      <c r="A13" s="3" t="s">
        <v>115</v>
      </c>
      <c r="B13" s="9" t="n">
        <v>0.025</v>
      </c>
      <c r="C13" s="10" t="n">
        <v>0.0275</v>
      </c>
      <c r="D13" s="9" t="n">
        <v>0.0225</v>
      </c>
      <c r="E13" s="9" t="n">
        <v>0.0225</v>
      </c>
      <c r="F13" s="11" t="n">
        <v>0.0175</v>
      </c>
      <c r="G13" s="9" t="n">
        <v>0.0225</v>
      </c>
    </row>
    <row r="15" customFormat="false" ht="21.75" hidden="false" customHeight="true" outlineLevel="0" collapsed="false">
      <c r="A15" s="7" t="s">
        <v>116</v>
      </c>
      <c r="B15" s="8"/>
      <c r="C15" s="8"/>
      <c r="D15" s="8"/>
      <c r="E15" s="8"/>
      <c r="F15" s="8"/>
      <c r="G15" s="8"/>
    </row>
    <row r="16" customFormat="false" ht="15" hidden="false" customHeight="false" outlineLevel="0" collapsed="false">
      <c r="A16" s="18" t="s">
        <v>117</v>
      </c>
      <c r="B16" s="32" t="n">
        <v>7736.60685449476</v>
      </c>
      <c r="C16" s="32" t="n">
        <v>8738.51124987104</v>
      </c>
      <c r="D16" s="32" t="n">
        <v>7538.576784204</v>
      </c>
      <c r="E16" s="32" t="n">
        <v>6022.40503995635</v>
      </c>
      <c r="F16" s="32" t="n">
        <v>3922.88550393104</v>
      </c>
      <c r="G16" s="32" t="n">
        <v>3634.99514889107</v>
      </c>
    </row>
    <row r="17" customFormat="false" ht="15" hidden="false" customHeight="false" outlineLevel="0" collapsed="false">
      <c r="A17" s="3" t="s">
        <v>118</v>
      </c>
      <c r="B17" s="29" t="n">
        <v>0.747864134786326</v>
      </c>
      <c r="C17" s="29" t="n">
        <v>0.761377896134192</v>
      </c>
      <c r="D17" s="29" t="n">
        <v>0.736802775114762</v>
      </c>
      <c r="E17" s="29" t="n">
        <v>0.740250333490298</v>
      </c>
      <c r="F17" s="29" t="n">
        <v>0.725815923143035</v>
      </c>
      <c r="G17" s="29" t="n">
        <v>0.738046249642621</v>
      </c>
    </row>
    <row r="18" customFormat="false" ht="15" hidden="false" customHeight="false" outlineLevel="0" collapsed="false">
      <c r="A18" s="3" t="s">
        <v>119</v>
      </c>
      <c r="B18" s="26" t="n">
        <v>-1224.03287671233</v>
      </c>
      <c r="C18" s="26" t="n">
        <v>-1224.03287671233</v>
      </c>
      <c r="D18" s="26" t="n">
        <v>-1224.03287671233</v>
      </c>
      <c r="E18" s="26" t="n">
        <v>-1224.03287671233</v>
      </c>
      <c r="F18" s="26" t="n">
        <v>-1224.03287671233</v>
      </c>
      <c r="G18" s="26" t="n">
        <v>-1224.03287671233</v>
      </c>
    </row>
    <row r="19" customFormat="false" ht="15" hidden="false" customHeight="false" outlineLevel="0" collapsed="false">
      <c r="A19" s="3" t="s">
        <v>120</v>
      </c>
      <c r="B19" s="26" t="n">
        <v>-151.65</v>
      </c>
      <c r="C19" s="26" t="n">
        <v>-151.65</v>
      </c>
      <c r="D19" s="26" t="n">
        <v>-151.65</v>
      </c>
      <c r="E19" s="26" t="n">
        <v>-151.65</v>
      </c>
      <c r="F19" s="26" t="n">
        <v>-151.65</v>
      </c>
      <c r="G19" s="26" t="n">
        <v>-151.65</v>
      </c>
    </row>
    <row r="20" customFormat="false" ht="15" hidden="false" customHeight="false" outlineLevel="0" collapsed="false">
      <c r="A20" s="18" t="s">
        <v>121</v>
      </c>
      <c r="B20" s="32" t="n">
        <v>6360.92397778243</v>
      </c>
      <c r="C20" s="32" t="n">
        <v>7362.82837315871</v>
      </c>
      <c r="D20" s="32" t="n">
        <v>6162.89390749168</v>
      </c>
      <c r="E20" s="32" t="n">
        <v>4646.72216324403</v>
      </c>
      <c r="F20" s="32" t="n">
        <v>2547.20262721871</v>
      </c>
      <c r="G20" s="32" t="n">
        <v>2259.31227217874</v>
      </c>
    </row>
    <row r="22" customFormat="false" ht="21.75" hidden="false" customHeight="true" outlineLevel="0" collapsed="false">
      <c r="A22" s="7" t="s">
        <v>122</v>
      </c>
      <c r="B22" s="8"/>
      <c r="C22" s="8"/>
      <c r="D22" s="8"/>
      <c r="E22" s="8"/>
      <c r="F22" s="8"/>
      <c r="G22" s="8"/>
    </row>
    <row r="23" customFormat="false" ht="17.35" hidden="false" customHeight="false" outlineLevel="0" collapsed="false">
      <c r="A23" s="18" t="s">
        <v>123</v>
      </c>
      <c r="B23" s="33" t="n">
        <v>3.59374236032906</v>
      </c>
      <c r="C23" s="33" t="n">
        <v>4.1597900413326</v>
      </c>
      <c r="D23" s="33" t="n">
        <v>3.48186096468456</v>
      </c>
      <c r="E23" s="33" t="n">
        <v>2.62526675889493</v>
      </c>
      <c r="F23" s="33" t="n">
        <v>1.4390975295021</v>
      </c>
      <c r="G23" s="33" t="n">
        <v>1.27644761140042</v>
      </c>
    </row>
    <row r="24" customFormat="false" ht="15" hidden="false" customHeight="false" outlineLevel="0" collapsed="false">
      <c r="A24" s="3" t="s">
        <v>124</v>
      </c>
      <c r="B24" s="29" t="n">
        <v>-0.00450350129389043</v>
      </c>
      <c r="C24" s="30" t="n">
        <v>0.152296410341442</v>
      </c>
      <c r="D24" s="29" t="n">
        <v>-0.0354955776497056</v>
      </c>
      <c r="E24" s="29" t="n">
        <v>-0.27277929116484</v>
      </c>
      <c r="F24" s="29" t="n">
        <v>-0.601358025068672</v>
      </c>
      <c r="G24" s="31" t="n">
        <v>-0.646413404044206</v>
      </c>
    </row>
    <row r="25" customFormat="false" ht="15" hidden="false" customHeight="false" outlineLevel="0" collapsed="false">
      <c r="A25" s="3" t="s">
        <v>125</v>
      </c>
      <c r="B25" s="29" t="n">
        <v>0</v>
      </c>
      <c r="C25" s="30" t="n">
        <v>0.157509254767979</v>
      </c>
      <c r="D25" s="29" t="n">
        <v>-0.0311322806218776</v>
      </c>
      <c r="E25" s="29" t="n">
        <v>-0.269489435894188</v>
      </c>
      <c r="F25" s="29" t="n">
        <v>-0.599554618776198</v>
      </c>
      <c r="G25" s="31" t="n">
        <v>-0.64481382263487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4"/>
  </cols>
  <sheetData>
    <row r="1" customFormat="false" ht="16.15" hidden="false" customHeight="false" outlineLevel="0" collapsed="false">
      <c r="A1" s="4" t="s">
        <v>126</v>
      </c>
      <c r="B1" s="4"/>
      <c r="C1" s="4"/>
      <c r="D1" s="4"/>
      <c r="E1" s="4"/>
      <c r="F1" s="4"/>
      <c r="G1" s="4"/>
    </row>
    <row r="3" customFormat="false" ht="36" hidden="false" customHeight="true" outlineLevel="0" collapsed="false">
      <c r="A3" s="8"/>
      <c r="B3" s="6" t="s">
        <v>50</v>
      </c>
      <c r="C3" s="6" t="s">
        <v>51</v>
      </c>
      <c r="D3" s="6" t="s">
        <v>52</v>
      </c>
      <c r="E3" s="6" t="s">
        <v>53</v>
      </c>
      <c r="F3" s="6" t="s">
        <v>54</v>
      </c>
      <c r="G3" s="6" t="s">
        <v>55</v>
      </c>
    </row>
    <row r="5" customFormat="false" ht="21.75" hidden="false" customHeight="true" outlineLevel="0" collapsed="false">
      <c r="A5" s="7" t="s">
        <v>127</v>
      </c>
      <c r="B5" s="8"/>
      <c r="C5" s="8"/>
      <c r="D5" s="8"/>
      <c r="E5" s="8"/>
      <c r="F5" s="8"/>
      <c r="G5" s="8"/>
    </row>
    <row r="6" customFormat="false" ht="15" hidden="false" customHeight="false" outlineLevel="0" collapsed="false">
      <c r="A6" s="18" t="s">
        <v>123</v>
      </c>
      <c r="B6" s="34" t="n">
        <v>3.59374236032906</v>
      </c>
      <c r="C6" s="34" t="n">
        <v>4.1597900413326</v>
      </c>
      <c r="D6" s="34" t="n">
        <v>3.48186096468456</v>
      </c>
      <c r="E6" s="34" t="n">
        <v>2.62526675889493</v>
      </c>
      <c r="F6" s="34" t="n">
        <v>1.4390975295021</v>
      </c>
      <c r="G6" s="34" t="n">
        <v>1.27644761140042</v>
      </c>
    </row>
    <row r="7" customFormat="false" ht="15" hidden="false" customHeight="false" outlineLevel="0" collapsed="false">
      <c r="A7" s="3" t="s">
        <v>128</v>
      </c>
      <c r="B7" s="35" t="n">
        <v>0</v>
      </c>
      <c r="C7" s="35" t="n">
        <v>0.566047681003548</v>
      </c>
      <c r="D7" s="35" t="n">
        <v>-0.111881395644493</v>
      </c>
      <c r="E7" s="35" t="n">
        <v>-0.968475601434126</v>
      </c>
      <c r="F7" s="35" t="n">
        <v>-2.15464483082696</v>
      </c>
      <c r="G7" s="35" t="n">
        <v>-2.31729474892864</v>
      </c>
    </row>
    <row r="8" customFormat="false" ht="15" hidden="false" customHeight="false" outlineLevel="0" collapsed="false">
      <c r="A8" s="3" t="s">
        <v>129</v>
      </c>
      <c r="B8" s="29" t="n">
        <v>0</v>
      </c>
      <c r="C8" s="29" t="n">
        <v>0.157509254767979</v>
      </c>
      <c r="D8" s="29" t="n">
        <v>-0.0311322806218776</v>
      </c>
      <c r="E8" s="29" t="n">
        <v>-0.269489435894188</v>
      </c>
      <c r="F8" s="29" t="n">
        <v>-0.599554618776198</v>
      </c>
      <c r="G8" s="29" t="n">
        <v>-0.64481382263487</v>
      </c>
    </row>
    <row r="10" customFormat="false" ht="21.75" hidden="false" customHeight="true" outlineLevel="0" collapsed="false">
      <c r="A10" s="7" t="s">
        <v>130</v>
      </c>
      <c r="B10" s="8"/>
      <c r="C10" s="8"/>
      <c r="D10" s="8"/>
      <c r="E10" s="8"/>
      <c r="F10" s="8"/>
      <c r="G10" s="8"/>
    </row>
    <row r="11" customFormat="false" ht="15" hidden="false" customHeight="false" outlineLevel="0" collapsed="false">
      <c r="A11" s="15" t="s">
        <v>131</v>
      </c>
      <c r="B11" s="36" t="n">
        <v>0.566047681003548</v>
      </c>
    </row>
    <row r="12" customFormat="false" ht="15" hidden="false" customHeight="false" outlineLevel="0" collapsed="false">
      <c r="A12" s="15" t="s">
        <v>132</v>
      </c>
      <c r="B12" s="36" t="n">
        <v>2.31729474892864</v>
      </c>
    </row>
    <row r="13" customFormat="false" ht="15" hidden="false" customHeight="false" outlineLevel="0" collapsed="false">
      <c r="A13" s="2" t="s">
        <v>133</v>
      </c>
      <c r="B13" s="37" t="n">
        <v>4.09381546236582</v>
      </c>
    </row>
    <row r="14" customFormat="false" ht="49.5" hidden="false" customHeight="true" outlineLevel="0" collapsed="false">
      <c r="A14" s="16" t="s">
        <v>134</v>
      </c>
      <c r="B14" s="16"/>
      <c r="C14" s="16"/>
      <c r="D14" s="16"/>
      <c r="E14" s="16"/>
      <c r="F14" s="16"/>
      <c r="G14" s="16"/>
    </row>
  </sheetData>
  <mergeCells count="2">
    <mergeCell ref="A1:G1"/>
    <mergeCell ref="A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6.15" hidden="false" customHeight="false" outlineLevel="0" collapsed="false">
      <c r="A1" s="4" t="s">
        <v>135</v>
      </c>
      <c r="B1" s="4"/>
    </row>
    <row r="3" customFormat="false" ht="15" hidden="false" customHeight="false" outlineLevel="0" collapsed="false">
      <c r="A3" s="5" t="s">
        <v>136</v>
      </c>
      <c r="B3" s="5" t="s">
        <v>137</v>
      </c>
    </row>
    <row r="4" customFormat="false" ht="54.75" hidden="false" customHeight="true" outlineLevel="0" collapsed="false">
      <c r="A4" s="18" t="s">
        <v>138</v>
      </c>
      <c r="B4" s="3" t="s">
        <v>139</v>
      </c>
    </row>
    <row r="5" customFormat="false" ht="54.75" hidden="false" customHeight="true" outlineLevel="0" collapsed="false">
      <c r="A5" s="18" t="s">
        <v>140</v>
      </c>
      <c r="B5" s="3" t="s">
        <v>141</v>
      </c>
    </row>
    <row r="6" customFormat="false" ht="54.75" hidden="false" customHeight="true" outlineLevel="0" collapsed="false">
      <c r="A6" s="18" t="s">
        <v>142</v>
      </c>
      <c r="B6" s="3" t="s">
        <v>143</v>
      </c>
    </row>
    <row r="7" customFormat="false" ht="54.75" hidden="false" customHeight="true" outlineLevel="0" collapsed="false">
      <c r="A7" s="18" t="s">
        <v>144</v>
      </c>
      <c r="B7" s="3" t="s">
        <v>145</v>
      </c>
    </row>
    <row r="8" customFormat="false" ht="54.75" hidden="false" customHeight="true" outlineLevel="0" collapsed="false">
      <c r="A8" s="18" t="s">
        <v>146</v>
      </c>
      <c r="B8" s="3" t="s">
        <v>147</v>
      </c>
    </row>
    <row r="9" customFormat="false" ht="54.75" hidden="false" customHeight="true" outlineLevel="0" collapsed="false">
      <c r="A9" s="18" t="s">
        <v>148</v>
      </c>
      <c r="B9" s="3" t="s">
        <v>149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2026-06-09T04:51:01Z</dcterms:created>
  <dc:creator>openpyxl</dc:creator>
  <dc:description/>
  <dc:language>en-US</dc:language>
  <cp:lastModifiedBy/>
  <dcterms:modified xsi:type="dcterms:W3CDTF">2026-06-09T04:51:01Z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