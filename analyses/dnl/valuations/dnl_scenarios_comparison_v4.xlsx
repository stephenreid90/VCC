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DCF Outputs" sheetId="4" state="visible" r:id="rId4"/>
    <sheet xmlns:r="http://schemas.openxmlformats.org/officeDocument/2006/relationships" name="Asymmetry" sheetId="5" state="visible" r:id="rId5"/>
    <sheet xmlns:r="http://schemas.openxmlformats.org/officeDocument/2006/relationships" name="Scenario Rational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%;\(0.00%\);\-"/>
    <numFmt numFmtId="165" formatCode="\+#,##0&quot; bps&quot;;\-#,##0&quot; bps&quot;;&quot;- bps&quot;"/>
    <numFmt numFmtId="166" formatCode="0.0%;\(0.0%\);\-"/>
    <numFmt numFmtId="167" formatCode="#,##0;\(#,##0\);\-"/>
    <numFmt numFmtId="168" formatCode="&quot;AUD &quot;#,##0.00;&quot;(AUD &quot;#,##0.00\);\-"/>
    <numFmt numFmtId="169" formatCode="0.00\x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1F4E78"/>
      <sz val="13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000000"/>
      <sz val="14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CE4E4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6" fillId="3" borderId="0" applyAlignment="1" pivotButton="0" quotePrefix="0" xfId="0">
      <alignment horizontal="right" vertical="center"/>
    </xf>
    <xf numFmtId="167" fontId="6" fillId="4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167" fontId="5" fillId="6" borderId="0" applyAlignment="1" pivotButton="0" quotePrefix="0" xfId="0">
      <alignment horizontal="right" vertical="center"/>
    </xf>
    <xf numFmtId="168" fontId="10" fillId="5" borderId="0" applyAlignment="1" pivotButton="0" quotePrefix="0" xfId="0">
      <alignment horizontal="right" vertical="center"/>
    </xf>
    <xf numFmtId="168" fontId="5" fillId="6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general" vertical="bottom"/>
    </xf>
    <xf numFmtId="169" fontId="5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6" fillId="3" borderId="0" applyAlignment="1" pivotButton="0" quotePrefix="0" xfId="0">
      <alignment horizontal="right" vertical="center"/>
    </xf>
    <xf numFmtId="167" fontId="6" fillId="4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167" fontId="5" fillId="6" borderId="0" applyAlignment="1" pivotButton="0" quotePrefix="0" xfId="0">
      <alignment horizontal="right" vertical="center"/>
    </xf>
    <xf numFmtId="168" fontId="10" fillId="5" borderId="0" applyAlignment="1" pivotButton="0" quotePrefix="0" xfId="0">
      <alignment horizontal="right" vertical="center"/>
    </xf>
    <xf numFmtId="168" fontId="5" fillId="6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general" vertical="bottom"/>
    </xf>
    <xf numFmtId="169" fontId="5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C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38" min="1" max="1"/>
    <col width="32" customWidth="1" style="38" min="2" max="2"/>
    <col width="85" customWidth="1" style="38" min="3" max="3"/>
  </cols>
  <sheetData>
    <row r="1" ht="19.7" customHeight="1" s="39">
      <c r="B1" s="40" t="inlineStr">
        <is>
          <t>DNL Scenario Comparison v4 — full methodology (9 June 2026)</t>
        </is>
      </c>
    </row>
    <row r="3" ht="15" customHeight="1" s="39">
      <c r="B3" s="41" t="inlineStr">
        <is>
          <t>v4 methodology applied:</t>
        </is>
      </c>
      <c r="C3" s="42" t="n"/>
    </row>
    <row r="4" ht="15" customHeight="1" s="39">
      <c r="B4" s="41" t="inlineStr">
        <is>
          <t xml:space="preserve">  Base EBIT (Q1)</t>
        </is>
      </c>
      <c r="C4" s="42" t="inlineStr">
        <is>
          <t>AUD 480m (corporate already in segment guidance per slides 27-28)</t>
        </is>
      </c>
    </row>
    <row r="5" ht="15" customHeight="1" s="39">
      <c r="B5" s="41" t="inlineStr">
        <is>
          <t xml:space="preserve">  Margin glide (Q2/Q3)</t>
        </is>
      </c>
      <c r="C5" s="42" t="inlineStr">
        <is>
          <t>+60 / +180 / +200 bps Y1-Y3 cum (reconciled to exit run rate AUD 495-525m)</t>
        </is>
      </c>
    </row>
    <row r="6" ht="15" customHeight="1" s="39">
      <c r="B6" s="41" t="inlineStr">
        <is>
          <t xml:space="preserve">  Gas roll-off overlay</t>
        </is>
      </c>
      <c r="C6" s="42" t="inlineStr">
        <is>
          <t>0 / 0 / -50 / -100 / -150 bps Y1-Y5 cum (methodology section 3.2.1)</t>
        </is>
      </c>
    </row>
    <row r="7" ht="15" customHeight="1" s="39">
      <c r="B7" s="41" t="inlineStr">
        <is>
          <t xml:space="preserve">  Tax glide (section 3.6)</t>
        </is>
      </c>
      <c r="C7" s="42" t="inlineStr">
        <is>
          <t>Effective 22.5% (Y1) -&gt; blended statutory 27.5% (Y5/terminal), linear</t>
        </is>
      </c>
    </row>
    <row r="8" ht="26.85" customHeight="1" s="39">
      <c r="B8" s="41" t="inlineStr">
        <is>
          <t xml:space="preserve">  WACC</t>
        </is>
      </c>
      <c r="C8" s="42" t="inlineStr">
        <is>
          <t>Single 8.28% across all scenarios (section 3.5). World-index beta 0.95 (section ii). Hamada with blended statutory tax shield (consistency)</t>
        </is>
      </c>
    </row>
    <row r="9" ht="26.85" customHeight="1" s="39">
      <c r="B9" s="41" t="inlineStr">
        <is>
          <t xml:space="preserve">  Company position (section 3.3)</t>
        </is>
      </c>
      <c r="C9" s="42" t="inlineStr">
        <is>
          <t>Five Forces spine: rivalry/competitive position -30bps + rivalry/product mix -10bps + new entrants/DNEL +15bps = -25bps net</t>
        </is>
      </c>
    </row>
    <row r="10" ht="26.85" customHeight="1" s="39">
      <c r="B10" s="41" t="inlineStr">
        <is>
          <t xml:space="preserve">  Equity bridge (Q7)</t>
        </is>
      </c>
      <c r="C10" s="42" t="inlineStr">
        <is>
          <t>Full Fertilisers separation map (slide 29): IPF Distribution / Geelong / Gibson Island / Perdaman / Phosphate Hill ARO + contingent</t>
        </is>
      </c>
    </row>
    <row r="11" ht="15" customHeight="1" s="39">
      <c r="B11" s="41" t="inlineStr">
        <is>
          <t xml:space="preserve">  Period A walk (Q6/Q8)</t>
        </is>
      </c>
      <c r="C11" s="42" t="inlineStr">
        <is>
          <t>OCF AUD 500m underlying (was AUD 290m); no buyback adjustment</t>
        </is>
      </c>
    </row>
    <row r="12" ht="15" customHeight="1" s="39">
      <c r="B12" s="41" t="n"/>
      <c r="C12" s="42" t="n"/>
    </row>
    <row r="13" ht="26.85" customHeight="1" s="39">
      <c r="B13" s="41" t="inlineStr">
        <is>
          <t>Headline result:</t>
        </is>
      </c>
      <c r="C13" s="42" t="inlineStr">
        <is>
          <t>Muddle Through AUD 3.59/share (-0.5% vs market AUD 3.61) -- central case essentially at market</t>
        </is>
      </c>
    </row>
    <row r="14" ht="26.85" customHeight="1" s="39">
      <c r="B14" s="41" t="inlineStr">
        <is>
          <t>Framework discriminating power:</t>
        </is>
      </c>
      <c r="C14" s="42" t="inlineStr">
        <is>
          <t>Now lives in scenario asymmetry around Muddle Through, not in central-case disagreement</t>
        </is>
      </c>
    </row>
    <row r="15" ht="15" customHeight="1" s="39">
      <c r="B15" s="41" t="n"/>
      <c r="C15" s="42" t="n"/>
    </row>
    <row r="16" ht="15" customHeight="1" s="39">
      <c r="B16" s="41" t="inlineStr">
        <is>
          <t>Tabs:</t>
        </is>
      </c>
      <c r="C16" s="42" t="n"/>
    </row>
    <row r="17" ht="15" customHeight="1" s="39">
      <c r="B17" s="41" t="inlineStr">
        <is>
          <t xml:space="preserve">  Inputs</t>
        </is>
      </c>
      <c r="C17" s="42" t="inlineStr">
        <is>
          <t>Scenario macro + scenario-conditional deltas + Five Forces decomposition</t>
        </is>
      </c>
    </row>
    <row r="18" ht="15" customHeight="1" s="39">
      <c r="B18" s="41" t="inlineStr">
        <is>
          <t xml:space="preserve">  WACC</t>
        </is>
      </c>
      <c r="C18" s="42" t="inlineStr">
        <is>
          <t>Single component build (constant across scenarios)</t>
        </is>
      </c>
    </row>
    <row r="19" ht="15" customHeight="1" s="39">
      <c r="B19" s="41" t="inlineStr">
        <is>
          <t xml:space="preserve">  DCF Outputs</t>
        </is>
      </c>
      <c r="C19" s="42" t="inlineStr">
        <is>
          <t>EV / equity / per share / terminal share</t>
        </is>
      </c>
    </row>
    <row r="20" ht="15" customHeight="1" s="39">
      <c r="B20" s="41" t="inlineStr">
        <is>
          <t xml:space="preserve">  Asymmetry</t>
        </is>
      </c>
      <c r="C20" s="42" t="inlineStr">
        <is>
          <t>Per-share vs Muddle Through; downside/upside ratio</t>
        </is>
      </c>
    </row>
    <row r="21" ht="15" customHeight="1" s="39">
      <c r="B21" s="41" t="inlineStr">
        <is>
          <t xml:space="preserve">  Scenario Rationale</t>
        </is>
      </c>
      <c r="C21" s="42" t="inlineStr">
        <is>
          <t>One-paragraph per scenario</t>
        </is>
      </c>
    </row>
    <row r="22" ht="15" customHeight="1" s="39">
      <c r="B22" s="41" t="n"/>
      <c r="C22" s="42" t="n"/>
    </row>
    <row r="23" ht="15" customHeight="1" s="39">
      <c r="B23" s="41" t="inlineStr">
        <is>
          <t>Methodology cross-references:</t>
        </is>
      </c>
      <c r="C23" s="42" t="n"/>
    </row>
    <row r="24" ht="15" customHeight="1" s="39">
      <c r="B24" s="41" t="inlineStr">
        <is>
          <t xml:space="preserve">  Equity bridge &amp; valuation mechanics</t>
        </is>
      </c>
      <c r="C24" s="42" t="inlineStr">
        <is>
          <t>design/methodology/equity_bridge_and_valuation_mechanics.md</t>
        </is>
      </c>
    </row>
    <row r="25" ht="15" customHeight="1" s="39">
      <c r="B25" s="41" t="inlineStr">
        <is>
          <t xml:space="preserve">  Architecture spec</t>
        </is>
      </c>
      <c r="C25" s="42" t="inlineStr">
        <is>
          <t>design/architecture.md v0.4</t>
        </is>
      </c>
    </row>
    <row r="26" ht="15" customHeight="1" s="39">
      <c r="B26" s="41" t="inlineStr">
        <is>
          <t xml:space="preserve">  DNL worked example</t>
        </is>
      </c>
      <c r="C26" s="42" t="inlineStr">
        <is>
          <t>analyses/dnl/valuations/dnl_muddle_through_valuation_v4_5forces.xlsx</t>
        </is>
      </c>
    </row>
    <row r="27" ht="15" customHeight="1" s="39">
      <c r="B27" s="41" t="n"/>
      <c r="C27" s="42" t="n"/>
    </row>
    <row r="28" ht="15" customHeight="1" s="39">
      <c r="B28" s="41" t="inlineStr">
        <is>
          <t>Constants:</t>
        </is>
      </c>
      <c r="C28" s="42" t="n"/>
    </row>
    <row r="29" ht="15" customHeight="1" s="39">
      <c r="B29" s="41" t="inlineStr">
        <is>
          <t xml:space="preserve">  Applied WACC</t>
        </is>
      </c>
      <c r="C29" s="42" t="inlineStr">
        <is>
          <t>8.28%</t>
        </is>
      </c>
    </row>
    <row r="30" ht="15" customHeight="1" s="39">
      <c r="B30" s="41" t="inlineStr">
        <is>
          <t xml:space="preserve">  Blended statutory tax</t>
        </is>
      </c>
      <c r="C30" s="42" t="inlineStr">
        <is>
          <t>27.5%</t>
        </is>
      </c>
    </row>
    <row r="31" ht="15" customHeight="1" s="39">
      <c r="B31" s="41" t="inlineStr">
        <is>
          <t xml:space="preserve">  DNL company-position offset (net)</t>
        </is>
      </c>
      <c r="C31" s="42" t="inlineStr">
        <is>
          <t>-0.25%</t>
        </is>
      </c>
    </row>
    <row r="32" ht="15" customHeight="1" s="39">
      <c r="B32" s="41" t="inlineStr">
        <is>
          <t xml:space="preserve">  Market reference (21 May 2026)</t>
        </is>
      </c>
      <c r="C32" s="42" t="inlineStr">
        <is>
          <t>Share price AUD 3.61, consensus target AUD 3.61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8" min="1" max="1"/>
    <col width="14" customWidth="1" style="38" min="2" max="7"/>
  </cols>
  <sheetData>
    <row r="1" ht="16.15" customHeight="1" s="39">
      <c r="A1" s="43" t="inlineStr">
        <is>
          <t>Scenario inputs — v4 with Five Forces decomposition</t>
        </is>
      </c>
    </row>
    <row r="3" ht="36" customHeight="1" s="39">
      <c r="A3" s="44" t="inlineStr">
        <is>
          <t>Input</t>
        </is>
      </c>
      <c r="B3" s="45" t="inlineStr">
        <is>
          <t>Muddle
Through</t>
        </is>
      </c>
      <c r="C3" s="45" t="inlineStr">
        <is>
          <t>Orderly
Convergence</t>
        </is>
      </c>
      <c r="D3" s="45" t="inlineStr">
        <is>
          <t>AI Prod.
Lag</t>
        </is>
      </c>
      <c r="E3" s="45" t="inlineStr">
        <is>
          <t>Fragmen-
tation</t>
        </is>
      </c>
      <c r="F3" s="45" t="inlineStr">
        <is>
          <t>Disorderly
Climate</t>
        </is>
      </c>
      <c r="G3" s="45" t="inlineStr">
        <is>
          <t>Stagflation
Persists</t>
        </is>
      </c>
    </row>
    <row r="5" ht="21.75" customHeight="1" s="39">
      <c r="A5" s="46" t="inlineStr">
        <is>
          <t>SCENARIO MACRO BASELINE</t>
        </is>
      </c>
      <c r="B5" s="47" t="n"/>
      <c r="C5" s="47" t="n"/>
      <c r="D5" s="47" t="n"/>
      <c r="E5" s="47" t="n"/>
      <c r="F5" s="47" t="n"/>
      <c r="G5" s="47" t="n"/>
    </row>
    <row r="6" ht="15" customHeight="1" s="39">
      <c r="A6" s="42" t="inlineStr">
        <is>
          <t>DM real GDP</t>
        </is>
      </c>
      <c r="B6" s="48" t="n">
        <v>0.02</v>
      </c>
      <c r="C6" s="49" t="n">
        <v>0.025</v>
      </c>
      <c r="D6" s="48" t="n">
        <v>0.017</v>
      </c>
      <c r="E6" s="48" t="n">
        <v>0.01</v>
      </c>
      <c r="F6" s="48" t="n">
        <v>0.015</v>
      </c>
      <c r="G6" s="50" t="n">
        <v>0.005</v>
      </c>
    </row>
    <row r="7" ht="15" customHeight="1" s="39">
      <c r="A7" s="42" t="inlineStr">
        <is>
          <t>DM inflation</t>
        </is>
      </c>
      <c r="B7" s="48" t="n">
        <v>0.025</v>
      </c>
      <c r="C7" s="50" t="n">
        <v>0.02</v>
      </c>
      <c r="D7" s="48" t="n">
        <v>0.025</v>
      </c>
      <c r="E7" s="48" t="n">
        <v>0.035</v>
      </c>
      <c r="F7" s="48" t="n">
        <v>0.035</v>
      </c>
      <c r="G7" s="49" t="n">
        <v>0.045</v>
      </c>
    </row>
    <row r="8" ht="15" customHeight="1" s="39">
      <c r="A8" s="42" t="inlineStr">
        <is>
          <t>Global mining real growth</t>
        </is>
      </c>
      <c r="B8" s="48" t="n">
        <v>0.025</v>
      </c>
      <c r="C8" s="49" t="n">
        <v>0.04</v>
      </c>
      <c r="D8" s="48" t="n">
        <v>0.02</v>
      </c>
      <c r="E8" s="48" t="n">
        <v>0.015</v>
      </c>
      <c r="F8" s="48" t="n">
        <v>0.02</v>
      </c>
      <c r="G8" s="50" t="n">
        <v>0</v>
      </c>
    </row>
    <row r="9" ht="15" customHeight="1" s="39">
      <c r="A9" s="42" t="inlineStr">
        <is>
          <t>Gas price growth</t>
        </is>
      </c>
      <c r="B9" s="48" t="n">
        <v>0.02</v>
      </c>
      <c r="C9" s="50" t="n">
        <v>0.015</v>
      </c>
      <c r="D9" s="48" t="n">
        <v>0.02</v>
      </c>
      <c r="E9" s="48" t="n">
        <v>0.04</v>
      </c>
      <c r="F9" s="49" t="n">
        <v>0.06</v>
      </c>
      <c r="G9" s="48" t="n">
        <v>0.05</v>
      </c>
    </row>
    <row r="11" ht="21.75" customHeight="1" s="39">
      <c r="A11" s="46" t="inlineStr">
        <is>
          <t>SCENARIO-CONDITIONAL DELTAS</t>
        </is>
      </c>
      <c r="B11" s="47" t="n"/>
      <c r="C11" s="47" t="n"/>
      <c r="D11" s="47" t="n"/>
      <c r="E11" s="47" t="n"/>
      <c r="F11" s="47" t="n"/>
      <c r="G11" s="47" t="n"/>
    </row>
    <row r="12" ht="15" customHeight="1" s="39">
      <c r="A12" s="42" t="inlineStr">
        <is>
          <t>Margin delta (pp; gross/SG&amp;A/input-cost net)</t>
        </is>
      </c>
      <c r="B12" s="48" t="n">
        <v>0</v>
      </c>
      <c r="C12" s="49" t="n">
        <v>0.005</v>
      </c>
      <c r="D12" s="49" t="n">
        <v>0.005</v>
      </c>
      <c r="E12" s="48" t="n">
        <v>-0.03</v>
      </c>
      <c r="F12" s="48" t="n">
        <v>-0.03</v>
      </c>
      <c r="G12" s="50" t="n">
        <v>-0.075</v>
      </c>
    </row>
    <row r="13" ht="15" customHeight="1" s="39">
      <c r="A13" s="42" t="inlineStr">
        <is>
          <t>Terminal growth delta (bps)</t>
        </is>
      </c>
      <c r="B13" s="51" t="n">
        <v>0</v>
      </c>
      <c r="C13" s="52" t="n">
        <v>25</v>
      </c>
      <c r="D13" s="51" t="n">
        <v>-25</v>
      </c>
      <c r="E13" s="51" t="n">
        <v>-25</v>
      </c>
      <c r="F13" s="53" t="n">
        <v>-75</v>
      </c>
      <c r="G13" s="51" t="n">
        <v>-25</v>
      </c>
    </row>
    <row r="14" ht="15" customHeight="1" s="39">
      <c r="A14" s="42" t="inlineStr">
        <is>
          <t>Capex delta (climate scenario; pp)</t>
        </is>
      </c>
      <c r="B14" s="50" t="n">
        <v>0</v>
      </c>
      <c r="C14" s="50" t="n">
        <v>0</v>
      </c>
      <c r="D14" s="50" t="n">
        <v>0</v>
      </c>
      <c r="E14" s="50" t="n">
        <v>0</v>
      </c>
      <c r="F14" s="49" t="n">
        <v>0.03</v>
      </c>
      <c r="G14" s="50" t="n">
        <v>0</v>
      </c>
    </row>
    <row r="16" ht="21.75" customHeight="1" s="39">
      <c r="A16" s="46" t="inlineStr">
        <is>
          <t>DNL COMPANY POSITION (Five Forces; section 3.3) — same all scenarios</t>
        </is>
      </c>
      <c r="B16" s="47" t="n"/>
      <c r="C16" s="47" t="n"/>
      <c r="D16" s="47" t="n"/>
      <c r="E16" s="47" t="n"/>
      <c r="F16" s="47" t="n"/>
      <c r="G16" s="47" t="n"/>
    </row>
    <row r="17" ht="26.85" customHeight="1" s="39">
      <c r="A17" s="54" t="inlineStr">
        <is>
          <t xml:space="preserve">  Buyer power</t>
        </is>
      </c>
      <c r="B17" s="42" t="inlineStr">
        <is>
          <t>industry: HIGH (binding) | DNL: at average | mechanism: same mining-major customer mix as Orica | Δ: 0</t>
        </is>
      </c>
    </row>
    <row r="18" ht="26.85" customHeight="1" s="39">
      <c r="A18" s="54" t="inlineStr">
        <is>
          <t xml:space="preserve">  Supplier power</t>
        </is>
      </c>
      <c r="B18" s="42" t="inlineStr">
        <is>
          <t>industry: MODERATE | DNL: LOWER (favourable) | US gas contracts through 2028 | captured via gas roll-off overlay</t>
        </is>
      </c>
    </row>
    <row r="19" ht="26.85" customHeight="1" s="39">
      <c r="A19" s="54" t="inlineStr">
        <is>
          <t xml:space="preserve">  New entrants</t>
        </is>
      </c>
      <c r="B19" s="42" t="inlineStr">
        <is>
          <t>industry: LOW | DNL: LOWER in EM (favourable) | DNEL ramp LATAM/Africa | Δ: +15bps growth</t>
        </is>
      </c>
    </row>
    <row r="20" ht="15" customHeight="1" s="39">
      <c r="A20" s="54" t="inlineStr">
        <is>
          <t xml:space="preserve">  Substitutes</t>
        </is>
      </c>
      <c r="B20" s="42" t="inlineStr">
        <is>
          <t>industry: LOW | DNL: at average | intra-industry tech sub affects all players | Δ: 0</t>
        </is>
      </c>
    </row>
    <row r="21" ht="26.85" customHeight="1" s="39">
      <c r="A21" s="54" t="inlineStr">
        <is>
          <t xml:space="preserve">  Rivalry: competitive position</t>
        </is>
      </c>
      <c r="B21" s="42" t="inlineStr">
        <is>
          <t>industry: MODERATE | DNL: HIGHER (unfavourable) | #2 vs Orica #1 scale + tech lead | Δ: -30bps growth</t>
        </is>
      </c>
    </row>
    <row r="22" ht="15" customHeight="1" s="39">
      <c r="A22" s="54" t="inlineStr">
        <is>
          <t xml:space="preserve">  Rivalry: product-mix</t>
        </is>
      </c>
      <c r="B22" s="42" t="inlineStr">
        <is>
          <t>more bulk-ANFO weighted; less electronic detonator exposure | Δ: -10bps growth</t>
        </is>
      </c>
    </row>
    <row r="23" ht="15" customHeight="1" s="39">
      <c r="A23" s="41" t="inlineStr">
        <is>
          <t>NET DNL company-position offset</t>
        </is>
      </c>
      <c r="B23" s="55" t="inlineStr">
        <is>
          <t>-25bps (= -30 + -10 + 15 + 0 + 0 + 0)</t>
        </is>
      </c>
    </row>
    <row r="25" ht="21.75" customHeight="1" s="39">
      <c r="A25" s="46" t="inlineStr">
        <is>
          <t>DERIVED FROM CHAIN (per methodology section 2)</t>
        </is>
      </c>
      <c r="B25" s="47" t="n"/>
      <c r="C25" s="47" t="n"/>
      <c r="D25" s="47" t="n"/>
      <c r="E25" s="47" t="n"/>
      <c r="F25" s="47" t="n"/>
      <c r="G25" s="47" t="n"/>
    </row>
    <row r="26" ht="15" customHeight="1" s="39">
      <c r="A26" s="56" t="inlineStr">
        <is>
          <t>DNL nominal revenue growth (applied)</t>
        </is>
      </c>
      <c r="B26" s="57" t="n">
        <v>0.06154887625</v>
      </c>
      <c r="C26" s="57" t="n">
        <v>0.07441525</v>
      </c>
      <c r="D26" s="57" t="n">
        <v>0.055457585</v>
      </c>
      <c r="E26" s="57" t="n">
        <v>0.06304083125</v>
      </c>
      <c r="F26" s="57" t="n">
        <v>0.07555597500000009</v>
      </c>
      <c r="G26" s="57" t="n">
        <v>0.05487718</v>
      </c>
    </row>
    <row r="27" ht="15" customHeight="1" s="39">
      <c r="A27" s="56" t="inlineStr">
        <is>
          <t>Year 5 EBIT margin (with gas roll-off)</t>
        </is>
      </c>
      <c r="B27" s="58" t="n">
        <v>0.146</v>
      </c>
      <c r="C27" s="58" t="n">
        <v>0.151</v>
      </c>
      <c r="D27" s="58" t="n">
        <v>0.151</v>
      </c>
      <c r="E27" s="58" t="n">
        <v>0.116</v>
      </c>
      <c r="F27" s="58" t="n">
        <v>0.116</v>
      </c>
      <c r="G27" s="58" t="n">
        <v>0.07099999999999999</v>
      </c>
    </row>
  </sheetData>
  <mergeCells count="7">
    <mergeCell ref="B19:G19"/>
    <mergeCell ref="B20:G20"/>
    <mergeCell ref="A1:G1"/>
    <mergeCell ref="B22:G22"/>
    <mergeCell ref="B17:G17"/>
    <mergeCell ref="B18:G18"/>
    <mergeCell ref="B21:G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38" min="1" max="1"/>
    <col width="14" customWidth="1" style="38" min="2" max="2"/>
    <col width="60" customWidth="1" style="38" min="3" max="3"/>
  </cols>
  <sheetData>
    <row r="1" ht="16.15" customHeight="1" s="39">
      <c r="A1" s="43" t="inlineStr">
        <is>
          <t>WACC — single build applied to all scenarios (methodology section 3.5)</t>
        </is>
      </c>
    </row>
    <row r="3" ht="15" customHeight="1" s="39">
      <c r="A3" s="44" t="inlineStr">
        <is>
          <t>Component</t>
        </is>
      </c>
      <c r="B3" s="45" t="inlineStr">
        <is>
          <t>Value</t>
        </is>
      </c>
      <c r="C3" s="44" t="inlineStr">
        <is>
          <t>Notes</t>
        </is>
      </c>
    </row>
    <row r="4" ht="15" customHeight="1" s="39">
      <c r="A4" s="54" t="inlineStr">
        <is>
          <t>Risk-free rate (Rf)</t>
        </is>
      </c>
      <c r="B4" s="59" t="n">
        <v>0.043</v>
      </c>
      <c r="C4" s="54" t="inlineStr">
        <is>
          <t>10Y on-the-run CGS YTM (May 2026)</t>
        </is>
      </c>
    </row>
    <row r="5" ht="15" customHeight="1" s="39">
      <c r="A5" s="54" t="inlineStr">
        <is>
          <t>Equity risk premium (ERP)</t>
        </is>
      </c>
      <c r="B5" s="59" t="n">
        <v>0.05</v>
      </c>
      <c r="C5" s="54" t="inlineStr">
        <is>
          <t>Mature-Australia</t>
        </is>
      </c>
    </row>
    <row r="6" ht="15" customHeight="1" s="39">
      <c r="A6" s="54" t="inlineStr">
        <is>
          <t>Beta (world-index, Hamada re-levered)</t>
        </is>
      </c>
      <c r="B6" s="60" t="n">
        <v>0.95</v>
      </c>
      <c r="C6" s="54" t="inlineStr">
        <is>
          <t>World-index basis per WACC convention (ii)</t>
        </is>
      </c>
    </row>
    <row r="7" ht="15" customHeight="1" s="39">
      <c r="A7" s="54" t="inlineStr">
        <is>
          <t>Cost of equity (CAPM)</t>
        </is>
      </c>
      <c r="B7" s="57">
        <f>B4+B6*B5</f>
        <v/>
      </c>
      <c r="C7" s="54" t="inlineStr">
        <is>
          <t>Re = Rf + Beta x ERP</t>
        </is>
      </c>
    </row>
    <row r="8" ht="15" customHeight="1" s="39">
      <c r="A8" s="54" t="inlineStr">
        <is>
          <t>Cost of debt, pre-tax</t>
        </is>
      </c>
      <c r="B8" s="59" t="n">
        <v>0.06</v>
      </c>
      <c r="C8" s="54" t="inlineStr">
        <is>
          <t>BBB spread ~170bps</t>
        </is>
      </c>
    </row>
    <row r="9" ht="15" customHeight="1" s="39">
      <c r="A9" s="54" t="inlineStr">
        <is>
          <t>Tax rate (blended statutory; consistency)</t>
        </is>
      </c>
      <c r="B9" s="61" t="n">
        <v>0.275</v>
      </c>
      <c r="C9" s="54" t="inlineStr">
        <is>
          <t>Single rate principle (section 3.6)</t>
        </is>
      </c>
    </row>
    <row r="10" ht="15" customHeight="1" s="39">
      <c r="A10" s="54" t="inlineStr">
        <is>
          <t>Cost of debt, after-tax</t>
        </is>
      </c>
      <c r="B10" s="57">
        <f>B8*(1-B9)</f>
        <v/>
      </c>
      <c r="C10" s="54" t="n"/>
    </row>
    <row r="11" ht="15" customHeight="1" s="39">
      <c r="A11" s="54" t="inlineStr">
        <is>
          <t>Equity market value (E)</t>
        </is>
      </c>
      <c r="B11" s="62" t="n">
        <v>6390</v>
      </c>
      <c r="C11" s="54" t="n"/>
    </row>
    <row r="12" ht="15" customHeight="1" s="39">
      <c r="A12" s="54" t="inlineStr">
        <is>
          <t>Debt market value (D)</t>
        </is>
      </c>
      <c r="B12" s="62" t="n">
        <v>1260.8</v>
      </c>
      <c r="C12" s="54" t="n"/>
    </row>
    <row r="13" ht="15" customHeight="1" s="39">
      <c r="A13" s="54" t="inlineStr">
        <is>
          <t>E/V</t>
        </is>
      </c>
      <c r="B13" s="58">
        <f>B11/(B11+B12)</f>
        <v/>
      </c>
      <c r="C13" s="54" t="n"/>
    </row>
    <row r="14" ht="15" customHeight="1" s="39">
      <c r="A14" s="54" t="inlineStr">
        <is>
          <t>D/V</t>
        </is>
      </c>
      <c r="B14" s="58">
        <f>B12/(B11+B12)</f>
        <v/>
      </c>
      <c r="C14" s="54" t="n"/>
    </row>
    <row r="15" ht="15" customHeight="1" s="39">
      <c r="A15" s="41" t="inlineStr">
        <is>
          <t>Applied WACC</t>
        </is>
      </c>
      <c r="B15" s="63">
        <f>B13*B7+B14*B10</f>
        <v/>
      </c>
      <c r="C15" s="54" t="inlineStr">
        <is>
          <t>Constant across scenarios; per methodology 3.5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8" min="1" max="1"/>
    <col width="14" customWidth="1" style="38" min="2" max="7"/>
  </cols>
  <sheetData>
    <row r="1" ht="16.15" customHeight="1" s="39">
      <c r="A1" s="43" t="inlineStr">
        <is>
          <t>DCF outputs — v4 across all scenarios</t>
        </is>
      </c>
    </row>
    <row r="3" ht="36" customHeight="1" s="39">
      <c r="A3" s="44" t="inlineStr">
        <is>
          <t>Output</t>
        </is>
      </c>
      <c r="B3" s="45" t="inlineStr">
        <is>
          <t>Muddle
Through</t>
        </is>
      </c>
      <c r="C3" s="45" t="inlineStr">
        <is>
          <t>Orderly
Convergence</t>
        </is>
      </c>
      <c r="D3" s="45" t="inlineStr">
        <is>
          <t>AI Prod.
Lag</t>
        </is>
      </c>
      <c r="E3" s="45" t="inlineStr">
        <is>
          <t>Fragmen-
tation</t>
        </is>
      </c>
      <c r="F3" s="45" t="inlineStr">
        <is>
          <t>Disorderly
Climate</t>
        </is>
      </c>
      <c r="G3" s="45" t="inlineStr">
        <is>
          <t>Stagflation
Persists</t>
        </is>
      </c>
    </row>
    <row r="5" ht="21.75" customHeight="1" s="39">
      <c r="A5" s="46" t="inlineStr">
        <is>
          <t>DRIVERS (year 5)</t>
        </is>
      </c>
      <c r="B5" s="47" t="n"/>
      <c r="C5" s="47" t="n"/>
      <c r="D5" s="47" t="n"/>
      <c r="E5" s="47" t="n"/>
      <c r="F5" s="47" t="n"/>
      <c r="G5" s="47" t="n"/>
    </row>
    <row r="6" ht="15" customHeight="1" s="39">
      <c r="A6" s="42" t="inlineStr">
        <is>
          <t>Revenue Y5 (AUD m)</t>
        </is>
      </c>
      <c r="B6" s="64" t="n">
        <v>4583.30640287258</v>
      </c>
      <c r="C6" s="64" t="n">
        <v>4867.87857885038</v>
      </c>
      <c r="D6" s="64" t="n">
        <v>4453.30913373167</v>
      </c>
      <c r="E6" s="64" t="n">
        <v>4615.6051282738</v>
      </c>
      <c r="F6" s="65" t="n">
        <v>4893.77505862254</v>
      </c>
      <c r="G6" s="66" t="n">
        <v>4441.07803242752</v>
      </c>
    </row>
    <row r="7" ht="15" customHeight="1" s="39">
      <c r="A7" s="42" t="inlineStr">
        <is>
          <t>EBIT margin Y5</t>
        </is>
      </c>
      <c r="B7" s="67" t="n">
        <v>0.146</v>
      </c>
      <c r="C7" s="68" t="n">
        <v>0.151</v>
      </c>
      <c r="D7" s="68" t="n">
        <v>0.151</v>
      </c>
      <c r="E7" s="67" t="n">
        <v>0.116</v>
      </c>
      <c r="F7" s="67" t="n">
        <v>0.116</v>
      </c>
      <c r="G7" s="69" t="n">
        <v>0.07099999999999999</v>
      </c>
    </row>
    <row r="8" ht="15" customHeight="1" s="39">
      <c r="A8" s="42" t="inlineStr">
        <is>
          <t>EBIT Y5 (AUD m)</t>
        </is>
      </c>
      <c r="B8" s="64" t="n">
        <v>669.162734819396</v>
      </c>
      <c r="C8" s="64" t="n">
        <v>735.0496654064081</v>
      </c>
      <c r="D8" s="64" t="n">
        <v>672.449679193482</v>
      </c>
      <c r="E8" s="64" t="n">
        <v>535.41019487976</v>
      </c>
      <c r="F8" s="64" t="n">
        <v>567.677906800214</v>
      </c>
      <c r="G8" s="64" t="n">
        <v>315.316540302354</v>
      </c>
    </row>
    <row r="9" ht="15" customHeight="1" s="39">
      <c r="A9" s="42" t="inlineStr">
        <is>
          <t>FCFF Y5 (AUD m)</t>
        </is>
      </c>
      <c r="B9" s="64" t="n">
        <v>498.89290195268</v>
      </c>
      <c r="C9" s="65" t="n">
        <v>547.5146431561971</v>
      </c>
      <c r="D9" s="64" t="n">
        <v>500.885944816469</v>
      </c>
      <c r="E9" s="64" t="n">
        <v>402.019206672647</v>
      </c>
      <c r="F9" s="64" t="n">
        <v>279.434555847347</v>
      </c>
      <c r="G9" s="66" t="n">
        <v>241.927725816489</v>
      </c>
    </row>
    <row r="11" ht="21.75" customHeight="1" s="39">
      <c r="A11" s="46" t="inlineStr">
        <is>
          <t>DISCOUNTING</t>
        </is>
      </c>
      <c r="B11" s="47" t="n"/>
      <c r="C11" s="47" t="n"/>
      <c r="D11" s="47" t="n"/>
      <c r="E11" s="47" t="n"/>
      <c r="F11" s="47" t="n"/>
      <c r="G11" s="47" t="n"/>
    </row>
    <row r="12" ht="15" customHeight="1" s="39">
      <c r="A12" s="42" t="inlineStr">
        <is>
          <t>Applied WACC (constant)</t>
        </is>
      </c>
      <c r="B12" s="48" t="n">
        <v>0.0827547184608145</v>
      </c>
      <c r="C12" s="48" t="n">
        <v>0.0827547184608145</v>
      </c>
      <c r="D12" s="48" t="n">
        <v>0.0827547184608145</v>
      </c>
      <c r="E12" s="48" t="n">
        <v>0.0827547184608145</v>
      </c>
      <c r="F12" s="48" t="n">
        <v>0.0827547184608145</v>
      </c>
      <c r="G12" s="48" t="n">
        <v>0.0827547184608145</v>
      </c>
    </row>
    <row r="13" ht="15" customHeight="1" s="39">
      <c r="A13" s="42" t="inlineStr">
        <is>
          <t>Applied terminal growth</t>
        </is>
      </c>
      <c r="B13" s="48" t="n">
        <v>0.025</v>
      </c>
      <c r="C13" s="49" t="n">
        <v>0.0275</v>
      </c>
      <c r="D13" s="48" t="n">
        <v>0.0225</v>
      </c>
      <c r="E13" s="48" t="n">
        <v>0.0225</v>
      </c>
      <c r="F13" s="50" t="n">
        <v>0.0175</v>
      </c>
      <c r="G13" s="48" t="n">
        <v>0.0225</v>
      </c>
    </row>
    <row r="15" ht="21.75" customHeight="1" s="39">
      <c r="A15" s="46" t="inlineStr">
        <is>
          <t>VALUATION</t>
        </is>
      </c>
      <c r="B15" s="47" t="n"/>
      <c r="C15" s="47" t="n"/>
      <c r="D15" s="47" t="n"/>
      <c r="E15" s="47" t="n"/>
      <c r="F15" s="47" t="n"/>
      <c r="G15" s="47" t="n"/>
    </row>
    <row r="16" ht="15" customHeight="1" s="39">
      <c r="A16" s="56" t="inlineStr">
        <is>
          <t>Enterprise value</t>
        </is>
      </c>
      <c r="B16" s="70" t="n">
        <v>7736.60685449476</v>
      </c>
      <c r="C16" s="70" t="n">
        <v>8738.51124987104</v>
      </c>
      <c r="D16" s="70" t="n">
        <v>7538.576784204</v>
      </c>
      <c r="E16" s="70" t="n">
        <v>6022.40503995635</v>
      </c>
      <c r="F16" s="70" t="n">
        <v>3922.88550393104</v>
      </c>
      <c r="G16" s="70" t="n">
        <v>3634.99514889107</v>
      </c>
    </row>
    <row r="17" ht="15" customHeight="1" s="39">
      <c r="A17" s="42" t="inlineStr">
        <is>
          <t>Terminal share of EV</t>
        </is>
      </c>
      <c r="B17" s="67" t="n">
        <v>0.747864134786326</v>
      </c>
      <c r="C17" s="67" t="n">
        <v>0.761377896134192</v>
      </c>
      <c r="D17" s="67" t="n">
        <v>0.736802775114762</v>
      </c>
      <c r="E17" s="67" t="n">
        <v>0.740250333490298</v>
      </c>
      <c r="F17" s="67" t="n">
        <v>0.725815923143035</v>
      </c>
      <c r="G17" s="67" t="n">
        <v>0.738046249642621</v>
      </c>
    </row>
    <row r="18" ht="15" customHeight="1" s="39">
      <c r="A18" s="42" t="inlineStr">
        <is>
          <t>Net debt at val date (ex-leases)</t>
        </is>
      </c>
      <c r="B18" s="64" t="n">
        <v>-1224.03287671233</v>
      </c>
      <c r="C18" s="64" t="n">
        <v>-1224.03287671233</v>
      </c>
      <c r="D18" s="64" t="n">
        <v>-1224.03287671233</v>
      </c>
      <c r="E18" s="64" t="n">
        <v>-1224.03287671233</v>
      </c>
      <c r="F18" s="64" t="n">
        <v>-1224.03287671233</v>
      </c>
      <c r="G18" s="64" t="n">
        <v>-1224.03287671233</v>
      </c>
    </row>
    <row r="19" ht="15" customHeight="1" s="39">
      <c r="A19" s="42" t="inlineStr">
        <is>
          <t>Equity bridge (net)</t>
        </is>
      </c>
      <c r="B19" s="64" t="n">
        <v>-151.65</v>
      </c>
      <c r="C19" s="64" t="n">
        <v>-151.65</v>
      </c>
      <c r="D19" s="64" t="n">
        <v>-151.65</v>
      </c>
      <c r="E19" s="64" t="n">
        <v>-151.65</v>
      </c>
      <c r="F19" s="64" t="n">
        <v>-151.65</v>
      </c>
      <c r="G19" s="64" t="n">
        <v>-151.65</v>
      </c>
    </row>
    <row r="20" ht="15" customHeight="1" s="39">
      <c r="A20" s="56" t="inlineStr">
        <is>
          <t xml:space="preserve">  Less: AASB 16 lease liabilities (H1 val date)</t>
        </is>
      </c>
      <c r="B20" s="70" t="n">
        <v>-194.3</v>
      </c>
      <c r="C20" s="70" t="n">
        <v>-194.3</v>
      </c>
      <c r="D20" s="70" t="n">
        <v>-194.3</v>
      </c>
      <c r="E20" s="70" t="n">
        <v>-194.3</v>
      </c>
      <c r="F20" s="70" t="n">
        <v>-194.3</v>
      </c>
      <c r="G20" s="70" t="n">
        <v>-194.3</v>
      </c>
    </row>
    <row r="21">
      <c r="A21" t="inlineStr">
        <is>
          <t>Equity value</t>
        </is>
      </c>
      <c r="B21">
        <f>B16+B18+B19+B20</f>
        <v/>
      </c>
      <c r="C21">
        <f>C16+C18+C19+C20</f>
        <v/>
      </c>
      <c r="D21">
        <f>D16+D18+D19+D20</f>
        <v/>
      </c>
      <c r="E21">
        <f>E16+E18+E19+E20</f>
        <v/>
      </c>
      <c r="F21">
        <f>F16+F18+F19+F20</f>
        <v/>
      </c>
      <c r="G21">
        <f>G16+G18+G19+G20</f>
        <v/>
      </c>
    </row>
    <row r="22" ht="21.75" customHeight="1" s="39">
      <c r="A22" s="46" t="inlineStr">
        <is>
          <t>PER SHARE</t>
        </is>
      </c>
      <c r="B22" s="47" t="n"/>
      <c r="C22" s="47" t="n"/>
      <c r="D22" s="47" t="n"/>
      <c r="E22" s="47" t="n"/>
      <c r="F22" s="47" t="n"/>
      <c r="G22" s="47" t="n"/>
    </row>
    <row r="23" ht="17.35" customHeight="1" s="39">
      <c r="A23" s="56" t="inlineStr">
        <is>
          <t>Value per share</t>
        </is>
      </c>
      <c r="B23" s="71">
        <f>B21/1770</f>
        <v/>
      </c>
      <c r="C23" s="71">
        <f>C21/1770</f>
        <v/>
      </c>
      <c r="D23" s="71">
        <f>D21/1770</f>
        <v/>
      </c>
      <c r="E23" s="71">
        <f>E21/1770</f>
        <v/>
      </c>
      <c r="F23" s="71">
        <f>F21/1770</f>
        <v/>
      </c>
      <c r="G23" s="71">
        <f>G21/1770</f>
        <v/>
      </c>
    </row>
    <row r="24" ht="15" customHeight="1" s="39">
      <c r="A24" s="42" t="inlineStr">
        <is>
          <t>vs market AUD 3.61</t>
        </is>
      </c>
      <c r="B24" s="67">
        <f>B23/3.61-1</f>
        <v/>
      </c>
      <c r="C24" s="68">
        <f>C23/3.61-1</f>
        <v/>
      </c>
      <c r="D24" s="67">
        <f>D23/3.61-1</f>
        <v/>
      </c>
      <c r="E24" s="67">
        <f>E23/3.61-1</f>
        <v/>
      </c>
      <c r="F24" s="67">
        <f>F23/3.61-1</f>
        <v/>
      </c>
      <c r="G24" s="69">
        <f>G23/3.61-1</f>
        <v/>
      </c>
    </row>
    <row r="25" ht="15" customHeight="1" s="39">
      <c r="A25" s="42" t="inlineStr">
        <is>
          <t>vs Muddle Through</t>
        </is>
      </c>
      <c r="B25" s="67">
        <f>B23/$B$23-1</f>
        <v/>
      </c>
      <c r="C25" s="68">
        <f>C23/$B$23-1</f>
        <v/>
      </c>
      <c r="D25" s="67">
        <f>D23/$B$23-1</f>
        <v/>
      </c>
      <c r="E25" s="67">
        <f>E23/$B$23-1</f>
        <v/>
      </c>
      <c r="F25" s="67">
        <f>F23/$B$23-1</f>
        <v/>
      </c>
      <c r="G25" s="69">
        <f>G23/$B$23-1</f>
        <v/>
      </c>
    </row>
    <row r="27">
      <c r="A27" t="inlineStr">
        <is>
          <t>Shares (m): 1770 (H1 FY26 anchor). Lease line added per Approach A (AASB 16 leases = debt).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38" min="1" max="1"/>
    <col width="14" customWidth="1" style="38" min="2" max="7"/>
  </cols>
  <sheetData>
    <row r="1" ht="16.15" customHeight="1" s="39">
      <c r="A1" s="43" t="inlineStr">
        <is>
          <t>Per-share asymmetry around Muddle Through</t>
        </is>
      </c>
    </row>
    <row r="3" ht="36" customHeight="1" s="39">
      <c r="A3" s="47" t="n"/>
      <c r="B3" s="45" t="inlineStr">
        <is>
          <t>Muddle
Through</t>
        </is>
      </c>
      <c r="C3" s="45" t="inlineStr">
        <is>
          <t>Orderly
Convergence</t>
        </is>
      </c>
      <c r="D3" s="45" t="inlineStr">
        <is>
          <t>AI Prod.
Lag</t>
        </is>
      </c>
      <c r="E3" s="45" t="inlineStr">
        <is>
          <t>Fragmen-
tation</t>
        </is>
      </c>
      <c r="F3" s="45" t="inlineStr">
        <is>
          <t>Disorderly
Climate</t>
        </is>
      </c>
      <c r="G3" s="45" t="inlineStr">
        <is>
          <t>Stagflation
Persists</t>
        </is>
      </c>
    </row>
    <row r="5" ht="21.75" customHeight="1" s="39">
      <c r="A5" s="46" t="inlineStr">
        <is>
          <t>PER-SHARE COMPARISON</t>
        </is>
      </c>
      <c r="B5" s="47" t="n"/>
      <c r="C5" s="47" t="n"/>
      <c r="D5" s="47" t="n"/>
      <c r="E5" s="47" t="n"/>
      <c r="F5" s="47" t="n"/>
      <c r="G5" s="47" t="n"/>
    </row>
    <row r="6" ht="15" customHeight="1" s="39">
      <c r="A6" s="56" t="inlineStr">
        <is>
          <t>Value per share</t>
        </is>
      </c>
      <c r="B6" s="72">
        <f>'DCF Outputs'!B23</f>
        <v/>
      </c>
      <c r="C6" s="72">
        <f>'DCF Outputs'!C23</f>
        <v/>
      </c>
      <c r="D6" s="72">
        <f>'DCF Outputs'!D23</f>
        <v/>
      </c>
      <c r="E6" s="72">
        <f>'DCF Outputs'!E23</f>
        <v/>
      </c>
      <c r="F6" s="72">
        <f>'DCF Outputs'!F23</f>
        <v/>
      </c>
      <c r="G6" s="72">
        <f>'DCF Outputs'!G23</f>
        <v/>
      </c>
    </row>
    <row r="7" ht="15" customHeight="1" s="39">
      <c r="A7" s="42" t="inlineStr">
        <is>
          <t>Δ vs Muddle Through (AUD)</t>
        </is>
      </c>
      <c r="B7" s="73" t="n">
        <v>0</v>
      </c>
      <c r="C7" s="73" t="n">
        <v>0.566047681003548</v>
      </c>
      <c r="D7" s="73" t="n">
        <v>-0.111881395644493</v>
      </c>
      <c r="E7" s="73" t="n">
        <v>-0.968475601434126</v>
      </c>
      <c r="F7" s="73" t="n">
        <v>-2.15464483082696</v>
      </c>
      <c r="G7" s="73" t="n">
        <v>-2.31729474892864</v>
      </c>
    </row>
    <row r="8" ht="15" customHeight="1" s="39">
      <c r="A8" s="42" t="inlineStr">
        <is>
          <t>Δ vs Muddle Through (%)</t>
        </is>
      </c>
      <c r="B8" s="67" t="n">
        <v>0</v>
      </c>
      <c r="C8" s="67" t="n">
        <v>0.157509254767979</v>
      </c>
      <c r="D8" s="67" t="n">
        <v>-0.0311322806218776</v>
      </c>
      <c r="E8" s="67" t="n">
        <v>-0.269489435894188</v>
      </c>
      <c r="F8" s="67" t="n">
        <v>-0.599554618776198</v>
      </c>
      <c r="G8" s="67" t="n">
        <v>-0.64481382263487</v>
      </c>
    </row>
    <row r="10" ht="21.75" customHeight="1" s="39">
      <c r="A10" s="46" t="inlineStr">
        <is>
          <t>ASYMMETRY METRICS</t>
        </is>
      </c>
      <c r="B10" s="47" t="n"/>
      <c r="C10" s="47" t="n"/>
      <c r="D10" s="47" t="n"/>
      <c r="E10" s="47" t="n"/>
      <c r="F10" s="47" t="n"/>
      <c r="G10" s="47" t="n"/>
    </row>
    <row r="11" ht="15" customHeight="1" s="39">
      <c r="A11" s="54" t="inlineStr">
        <is>
          <t>Upside (Orderly - MT)</t>
        </is>
      </c>
      <c r="B11" s="74" t="n">
        <v>0.566047681003548</v>
      </c>
    </row>
    <row r="12" ht="15" customHeight="1" s="39">
      <c r="A12" s="54" t="inlineStr">
        <is>
          <t>Worst downside (MT - Stagflation)</t>
        </is>
      </c>
      <c r="B12" s="74" t="n">
        <v>2.31729474892864</v>
      </c>
    </row>
    <row r="13" ht="15" customHeight="1" s="39">
      <c r="A13" s="41" t="inlineStr">
        <is>
          <t>Downside / upside ratio</t>
        </is>
      </c>
      <c r="B13" s="75" t="n">
        <v>4.09381546236582</v>
      </c>
    </row>
    <row r="14" ht="49.5" customHeight="1" s="39">
      <c r="A14" s="42" t="inlineStr">
        <is>
          <t>Negative asymmetry preserved: downside compression &gt; upside lift. Central case essentially at market; framework discriminating power lives in this asymmetry rather than in central-case disagreement.</t>
        </is>
      </c>
    </row>
  </sheetData>
  <mergeCells count="2">
    <mergeCell ref="A14:G14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38" min="1" max="1"/>
    <col width="110" customWidth="1" style="38" min="2" max="2"/>
  </cols>
  <sheetData>
    <row r="1" ht="16.15" customHeight="1" s="39">
      <c r="A1" s="43" t="inlineStr">
        <is>
          <t>Scenario rationale</t>
        </is>
      </c>
    </row>
    <row r="3" ht="15" customHeight="1" s="39">
      <c r="A3" s="44" t="inlineStr">
        <is>
          <t>Scenario</t>
        </is>
      </c>
      <c r="B3" s="44" t="inlineStr">
        <is>
          <t>Rationale</t>
        </is>
      </c>
    </row>
    <row r="4" ht="54.75" customHeight="1" s="39">
      <c r="A4" s="56" t="inlineStr">
        <is>
          <t>Muddle Through
(Interior, most-likely)</t>
        </is>
      </c>
      <c r="B4" s="42" t="inlineStr">
        <is>
          <t>Mining-customer capex cycle continues at current pace.</t>
        </is>
      </c>
    </row>
    <row r="5" ht="54.75" customHeight="1" s="39">
      <c r="A5" s="56" t="inlineStr">
        <is>
          <t>Orderly Convergence
(Upside boundary)</t>
        </is>
      </c>
      <c r="B5" s="42" t="inlineStr">
        <is>
          <t>Productivity acceleration + ordered geopolitics.</t>
        </is>
      </c>
    </row>
    <row r="6" ht="54.75" customHeight="1" s="39">
      <c r="A6" s="56" t="inlineStr">
        <is>
          <t>AI Productivity Lag
(Technology-downside boundary)</t>
        </is>
      </c>
      <c r="B6" s="42" t="inlineStr">
        <is>
          <t>AI fails to deliver economy-wide TFP.</t>
        </is>
      </c>
    </row>
    <row r="7" ht="54.75" customHeight="1" s="39">
      <c r="A7" s="56" t="inlineStr">
        <is>
          <t>Fragmentation
(Geopolitical-downside boundary)</t>
        </is>
      </c>
      <c r="B7" s="42" t="inlineStr">
        <is>
          <t>Trade fragmentation + resource nationalism.</t>
        </is>
      </c>
    </row>
    <row r="8" ht="54.75" customHeight="1" s="39">
      <c r="A8" s="56" t="inlineStr">
        <is>
          <t>Disorderly Climate
(Climate-downside boundary)</t>
        </is>
      </c>
      <c r="B8" s="42" t="inlineStr">
        <is>
          <t>Disorderly climate: carbon costs accelerate, capex demands.</t>
        </is>
      </c>
    </row>
    <row r="9" ht="54.75" customHeight="1" s="39">
      <c r="A9" s="56" t="inlineStr">
        <is>
          <t>Stagflation Persists
(Macro-downside boundary)</t>
        </is>
      </c>
      <c r="B9" s="42" t="inlineStr">
        <is>
          <t>Persistent stagflation: weak growth, high inflation, high gas costs.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2026-06-09T04:51:01Z</dcterms:created>
  <dcterms:modified xmlns:dcterms="http://purl.org/dc/terms/" xmlns:xsi="http://www.w3.org/2001/XMLSchema-instance" xsi:type="dcterms:W3CDTF">2026-07-12T07:06:40Z</dcterms:modified>
  <cp:revision>0</cp:revision>
</cp:coreProperties>
</file>