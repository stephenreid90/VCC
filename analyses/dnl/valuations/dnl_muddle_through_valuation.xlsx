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&amp;L Summary" sheetId="3" state="visible" r:id="rId5"/>
    <sheet name="Balance Sheet" sheetId="4" state="visible" r:id="rId6"/>
    <sheet name="WACC Build" sheetId="5" state="visible" r:id="rId7"/>
    <sheet name="DCF Workshe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<sst xmlns="http://schemas.openxmlformats.org/spreadsheetml/2006/main" count="323" uniqueCount="269">
  <si>
    <t xml:space="preserve">Dyno Nobel Limited (DNL.AU) — Muddle Through valuation</t>
  </si>
  <si>
    <t xml:space="preserve">Scenario:</t>
  </si>
  <si>
    <t xml:space="preserve">Muddle Through (interior, most-likely case per Phase 3 scenarios workshop)</t>
  </si>
  <si>
    <t xml:space="preserve">As at:</t>
  </si>
  <si>
    <t xml:space="preserve">24 May 2026 (calibration pass)</t>
  </si>
  <si>
    <t xml:space="preserve">Reporting currency:</t>
  </si>
  <si>
    <t xml:space="preserve">AUD millions unless noted</t>
  </si>
  <si>
    <t xml:space="preserve">Fiscal year-end:</t>
  </si>
  <si>
    <t xml:space="preserve">30 September</t>
  </si>
  <si>
    <t xml:space="preserve">Engine:</t>
  </si>
  <si>
    <t xml:space="preserve">Phase 3.5 smoke-test FCF DCF (5-yr explicit + Gordon-growth terminal)</t>
  </si>
  <si>
    <t xml:space="preserve">Tabs:</t>
  </si>
  <si>
    <t xml:space="preserve">  Assumptions</t>
  </si>
  <si>
    <t xml:space="preserve">Every input, value, source pointer and rationale. Single source of truth.</t>
  </si>
  <si>
    <t xml:space="preserve">  P&amp;L Summary</t>
  </si>
  <si>
    <t xml:space="preserve">Historicals (FY2024 combined, FY2025, TTM Mar 2026) + 5-year forecast.</t>
  </si>
  <si>
    <t xml:space="preserve">  Balance Sheet</t>
  </si>
  <si>
    <t xml:space="preserve">At 30 Sep 2025 (reported) + normalised steady-state anchors.</t>
  </si>
  <si>
    <t xml:space="preserve">  WACC Build</t>
  </si>
  <si>
    <t xml:space="preserve">Component build (Rf + beta x ERP, Rd, weights -&gt; WACC). Live formulas.</t>
  </si>
  <si>
    <t xml:space="preserve">  DCF Worksheet</t>
  </si>
  <si>
    <t xml:space="preserve">Year-by-year FCF, discount factors, terminal value, EV, equity, per share.</t>
  </si>
  <si>
    <t xml:space="preserve">Source data:</t>
  </si>
  <si>
    <t xml:space="preserve">  Reported financials</t>
  </si>
  <si>
    <t xml:space="preserve">data/financials/dnl.yaml (EODHD fundamentals, Ben's data workstream, 22 May 2026)</t>
  </si>
  <si>
    <t xml:space="preserve">  Normalised baseline</t>
  </si>
  <si>
    <t xml:space="preserve">data/financials/dnl.yaml normalised_baseline block (Phase 3.5 calibration, 24 May 2026)</t>
  </si>
  <si>
    <t xml:space="preserve">  Impact matrix</t>
  </si>
  <si>
    <t xml:space="preserve">data/impact_matrix/by_industry/industrial_explosives.yaml (muddle_through entry)</t>
  </si>
  <si>
    <t xml:space="preserve">  Scenario narrative</t>
  </si>
  <si>
    <t xml:space="preserve">data/scenarios/muddle_through.{yaml,md}</t>
  </si>
  <si>
    <t xml:space="preserve">  Engine code</t>
  </si>
  <si>
    <t xml:space="preserve">src/vcc_valuations/dcf/fcf_stub.py + scripts/run_smoke_test.py</t>
  </si>
  <si>
    <t xml:space="preserve">  Findings doc</t>
  </si>
  <si>
    <t xml:space="preserve">docs/phase_3_5_findings.md (Calibration pass section)</t>
  </si>
  <si>
    <t xml:space="preserve">Colour key:</t>
  </si>
  <si>
    <t xml:space="preserve">  Blue text</t>
  </si>
  <si>
    <t xml:space="preserve">Hardcoded input — override here to flow through the model.</t>
  </si>
  <si>
    <t xml:space="preserve">  Black text</t>
  </si>
  <si>
    <t xml:space="preserve">Formula / calculation.</t>
  </si>
  <si>
    <t xml:space="preserve">  Green text</t>
  </si>
  <si>
    <t xml:space="preserve">Cross-sheet link.</t>
  </si>
  <si>
    <t xml:space="preserve">  Yellow background</t>
  </si>
  <si>
    <t xml:space="preserve">Key assumption — flagged for attention.</t>
  </si>
  <si>
    <t xml:space="preserve">Smoke-test reference output:</t>
  </si>
  <si>
    <t xml:space="preserve">Muddle Through per share: AUD 2.53; EV AUD 6,042m; equity AUD 4,742m</t>
  </si>
  <si>
    <t xml:space="preserve">Market reference (21 May 2026):</t>
  </si>
  <si>
    <t xml:space="preserve">Share price AUD 3.61; consensus target AUD 3.61; EV AUD 7,682m</t>
  </si>
  <si>
    <t xml:space="preserve">Parameter</t>
  </si>
  <si>
    <t xml:space="preserve">Value</t>
  </si>
  <si>
    <t xml:space="preserve">Units</t>
  </si>
  <si>
    <t xml:space="preserve">Source / rationale</t>
  </si>
  <si>
    <t xml:space="preserve">BASE-YEAR FINANCIAL ANCHORS (TTM Mar 2026, normalised where flagged)</t>
  </si>
  <si>
    <t xml:space="preserve">Base-year revenue</t>
  </si>
  <si>
    <t xml:space="preserve">AUD m</t>
  </si>
  <si>
    <t xml:space="preserve">Source: TTM Mar 2026 reported revenue per data/financials/dnl.yaml income_statement.ttm_to_2026_03_31.revenue. First full 12 months post-demerger.</t>
  </si>
  <si>
    <t xml:space="preserve">Normalised EBIT margin</t>
  </si>
  <si>
    <t xml:space="preserve">%</t>
  </si>
  <si>
    <t xml:space="preserve">Override. TTM reported 11.23% is depressed by post-demerger transition costs; normalised to mid-point of pre-demerger Dyno Nobel segment range (13-15%). Source: data/financials/dnl.yaml normalised_baseline.ebit_margin + rationale block.</t>
  </si>
  <si>
    <t xml:space="preserve">Capex / revenue (steady state)</t>
  </si>
  <si>
    <t xml:space="preserve">Override. FY25 reported 12.8% inflated by partial-year + capital restructuring. Pre-demerger normalised 6-7%. Source: normalised_baseline.capex_pct_revenue.</t>
  </si>
  <si>
    <t xml:space="preserve">D&amp;A / revenue</t>
  </si>
  <si>
    <t xml:space="preserve">Roughly matches capex/revenue (steady state assumption). FY25 actual 284.1/3,710 = 7.66%. Source: normalised_baseline.da_pct_revenue.</t>
  </si>
  <si>
    <t xml:space="preserve">Tax rate (statutory)</t>
  </si>
  <si>
    <t xml:space="preserve">Australian statutory rate. Effective rate (FY25: 20.4%) runs lower due to franking / R&amp;D / foreign tax credits but those are timing/mix effects. Source: normalised_baseline.tax_rate.</t>
  </si>
  <si>
    <t xml:space="preserve">Working-capital change</t>
  </si>
  <si>
    <t xml:space="preserve">AUD m / yr</t>
  </si>
  <si>
    <t xml:space="preserve">Smoke-test simplification: assumed neutral. Production Step 7 will compute from working_capital_days x revenue growth.</t>
  </si>
  <si>
    <t xml:space="preserve">Net debt (reported)</t>
  </si>
  <si>
    <t xml:space="preserve">At 30 Sep 2025. Source: data/financials/dnl.yaml derived_metrics.net_debt. Inflated by post-demerger balance-sheet restructuring.</t>
  </si>
  <si>
    <t xml:space="preserve">Net debt (steady-state, normalised)</t>
  </si>
  <si>
    <t xml:space="preserve">Override. Mid-point of estimated AUD 1.2-1.4bn underlying leverage. Used in DCF for equity bridge. Source: normalised_baseline.net_debt.</t>
  </si>
  <si>
    <t xml:space="preserve">Shares outstanding</t>
  </si>
  <si>
    <t xml:space="preserve">m</t>
  </si>
  <si>
    <t xml:space="preserve">Source: data/financials/dnl.yaml share_statistics.shares_outstanding (1,875,912,826).</t>
  </si>
  <si>
    <t xml:space="preserve">REVENUE-GROWTH PATH (Muddle Through)</t>
  </si>
  <si>
    <t xml:space="preserve">Baseline nominal growth rate</t>
  </si>
  <si>
    <t xml:space="preserve">% per yr</t>
  </si>
  <si>
    <t xml:space="preserve">GDP-adjacent nominal growth for a mature industrial in developed markets. Source: scripts/run_smoke_test.py via fcf_stub.run_fcf_dcf nominal_baseline_growth_pct.</t>
  </si>
  <si>
    <t xml:space="preserve">Volume-growth delta</t>
  </si>
  <si>
    <t xml:space="preserve">Muddle Through: direction=neutral, magnitude=small -&gt; delta 0.0% per impact-matrix translation rules (VOLUME_DELTA_PCT). Rationale: 'mining-customer capex cycle continues at current pace; demand growth tracks slow grind of global mining volumes'.</t>
  </si>
  <si>
    <t xml:space="preserve">Price/mix delta</t>
  </si>
  <si>
    <t xml:space="preserve">Muddle Through: driver not populated in impact matrix (treated as neutral/small). Pass-through dynamics steady — see input_cost_pass_through entry.</t>
  </si>
  <si>
    <t xml:space="preserve">EBIT-MARGIN ADJUSTMENTS (Muddle Through)</t>
  </si>
  <si>
    <t xml:space="preserve">Gross-margin delta</t>
  </si>
  <si>
    <t xml:space="preserve">pp</t>
  </si>
  <si>
    <t xml:space="preserve">Muddle Through: driver not populated (neutral). No pressure on cost structure.</t>
  </si>
  <si>
    <t xml:space="preserve">Input-cost pass-through delta</t>
  </si>
  <si>
    <t xml:space="preserve">Muddle Through: direction=neutral, magnitude=small -&gt; delta 0.0pp. Rationale: 'long-term gas and ammonia contracts plus established customer relationships maintain established pass-through dynamics'.</t>
  </si>
  <si>
    <t xml:space="preserve">SG&amp;A pct revenue delta</t>
  </si>
  <si>
    <t xml:space="preserve">Muddle Through: driver not populated (neutral). Cost base steady.</t>
  </si>
  <si>
    <t xml:space="preserve">WACC COMPONENT BUILD-UP</t>
  </si>
  <si>
    <t xml:space="preserve">Risk-free rate (Rf)</t>
  </si>
  <si>
    <t xml:space="preserve">10-year Commonwealth of Australia government bond yield, indicative May 2026. RBA cash rate ~3.85%; 10-yr ~45bps above policy in easing cycle. Source: normalised_baseline.wacc_build.risk_free_rate.</t>
  </si>
  <si>
    <t xml:space="preserve">Equity risk premium (ERP)</t>
  </si>
  <si>
    <t xml:space="preserve">Damodaran-style mature-Australia ERP. Between implied global-mature mid-point (~4.6%) and Australian historical (~5.5%). Includes modest country-risk premium over US base (~50bps). Source: normalised_baseline.wacc_build.equity_risk_premium.</t>
  </si>
  <si>
    <t xml:space="preserve">Beta</t>
  </si>
  <si>
    <t xml:space="preserve">unitless</t>
  </si>
  <si>
    <t xml:space="preserve">Pre-demerger IPL observed beta vs ASX200 was 1.05-1.10. Demerger leaves pure-play mining-services exposure (fertilisers partially offset mining-cycle volatility), justifying modest uplift. EODHD post-demerger 0.36 unreliable (only ~14 months of trading history). Source: normalised_baseline.wacc_build.beta.</t>
  </si>
  <si>
    <t xml:space="preserve">Cost of debt (pre-tax)</t>
  </si>
  <si>
    <t xml:space="preserve">AUD investment-grade BBB-tier corporate spread ~170bps over 10-yr sovereign. IPL pre-demerger BBB+/Baa1; post-demerger DNL likely BBB given smaller scale and concentrated cyclical exposure. Source: normalised_baseline.wacc_build.cost_of_debt_pretax.</t>
  </si>
  <si>
    <t xml:space="preserve">Equity market value (E)</t>
  </si>
  <si>
    <t xml:space="preserve">1,884m shares x AUD 3.61 share price (21 May 2026 reference). Used for E/V weight in WACC. Source: normalised_baseline.wacc_build.equity_market_value.</t>
  </si>
  <si>
    <t xml:space="preserve">Debt market value (D)</t>
  </si>
  <si>
    <t xml:space="preserve">Reported net debt at 30 Sep 2025. Used for D/V weight in WACC — market-value weights reflect what the market actually sees today (not the steady-state normalised figure). Source: normalised_baseline.wacc_build.debt_market_value.</t>
  </si>
  <si>
    <t xml:space="preserve">RATE / TERMINAL-STATE ADJUSTMENTS (Muddle Through)</t>
  </si>
  <si>
    <t xml:space="preserve">Risk-free-rate scenario delta</t>
  </si>
  <si>
    <t xml:space="preserve">bps</t>
  </si>
  <si>
    <t xml:space="preserve">Muddle Through: direction=neutral, magnitude=small -&gt; delta 0bps. Rationale: 'real rates settle ~1% in Muddle Through baseline and stay there — baseline anchor against which other scenarios compared'.</t>
  </si>
  <si>
    <t xml:space="preserve">ERP scenario delta</t>
  </si>
  <si>
    <t xml:space="preserve">Muddle Through: driver not populated (neutral).</t>
  </si>
  <si>
    <t xml:space="preserve">Terminal-growth-rate delta</t>
  </si>
  <si>
    <t xml:space="preserve">Muddle Through: direction=neutral, magnitude=small -&gt; delta 0bps. Rationale: 'long-term mining-customer demand approximately GDP-adjacent'.</t>
  </si>
  <si>
    <t xml:space="preserve">Baseline terminal growth</t>
  </si>
  <si>
    <t xml:space="preserve">GDP-adjacent Australian long-run nominal trend. Demographic-adaptation considerations sit beyond explicit 5-year horizon (§9.7 of architecture spec). Source: normalised_baseline.terminal_growth.</t>
  </si>
  <si>
    <t xml:space="preserve">DCF ENGINE PARAMETERS</t>
  </si>
  <si>
    <t xml:space="preserve">Horizon (explicit years)</t>
  </si>
  <si>
    <t xml:space="preserve">years</t>
  </si>
  <si>
    <t xml:space="preserve">Phase 3.5 smoke-test setting. Architecture spec §2 supports either 5 or 10; longer horizon reduces terminal-share dominance (currently 73.9% of EV — over the 70% §11.4.2/§15.2 reasonableness threshold).</t>
  </si>
  <si>
    <t xml:space="preserve">Discounting convention</t>
  </si>
  <si>
    <t xml:space="preserve">end-period</t>
  </si>
  <si>
    <t xml:space="preserve">Smoke-test convention. Production §11.4 will use mid-period.</t>
  </si>
  <si>
    <t xml:space="preserve">Note on driver translation:</t>
  </si>
  <si>
    <t xml:space="preserve">Direction x magnitude -&gt; numeric delta per src/vcc_valuations/translator.py rule tables (VOLUME_DELTA_PCT, MARGIN_DELTA_PP, RATE_DELTA_BPS). neutral/small = 0; positive/moderate = +3.5% (vol) / +1.5pp (margin) / +75bps (rate); etc.</t>
  </si>
  <si>
    <t xml:space="preserve">DNL P&amp;L summary — historicals + Muddle Through 5-year forecast (AUD m)</t>
  </si>
  <si>
    <t xml:space="preserve">Period</t>
  </si>
  <si>
    <t xml:space="preserve">FY2024 (combined)</t>
  </si>
  <si>
    <t xml:space="preserve">FY2025</t>
  </si>
  <si>
    <t xml:space="preserve">TTM Mar-2026</t>
  </si>
  <si>
    <t xml:space="preserve">Y1 (FY27e)</t>
  </si>
  <si>
    <t xml:space="preserve">Y2 (FY28e)</t>
  </si>
  <si>
    <t xml:space="preserve">Y3 (FY29e)</t>
  </si>
  <si>
    <t xml:space="preserve">Y4 (FY30e)</t>
  </si>
  <si>
    <t xml:space="preserve">Y5 (FY31e)</t>
  </si>
  <si>
    <t xml:space="preserve">Notes</t>
  </si>
  <si>
    <t xml:space="preserve">REVENUE</t>
  </si>
  <si>
    <t xml:space="preserve">Revenue</t>
  </si>
  <si>
    <t xml:space="preserve">Year 1 = base x (1+g); compounded annually. g = baseline 2.0% + scenario deltas (Muddle: 0).</t>
  </si>
  <si>
    <t xml:space="preserve">Revenue growth y/y</t>
  </si>
  <si>
    <t xml:space="preserve">OPERATING PROFIT</t>
  </si>
  <si>
    <t xml:space="preserve">Cost of revenue</t>
  </si>
  <si>
    <t xml:space="preserve">FY25 reported COGS; TTM derived from gross-profit.</t>
  </si>
  <si>
    <t xml:space="preserve">Gross profit</t>
  </si>
  <si>
    <t xml:space="preserve">Reported. TTM gross profit per EODHD; FY25 per income statement.</t>
  </si>
  <si>
    <t xml:space="preserve">Depreciation &amp; amortisation</t>
  </si>
  <si>
    <t xml:space="preserve">Forecast = D&amp;A/rev assumption x revenue.</t>
  </si>
  <si>
    <t xml:space="preserve">Selling, general &amp; admin</t>
  </si>
  <si>
    <t xml:space="preserve">FY25 reported. Not separately forecast (margin held flat at normalised level).</t>
  </si>
  <si>
    <t xml:space="preserve">EBIT</t>
  </si>
  <si>
    <t xml:space="preserve">Forecast = Revenue x (normalised margin + scenario margin deltas).</t>
  </si>
  <si>
    <t xml:space="preserve">  EBIT margin (memo)</t>
  </si>
  <si>
    <t xml:space="preserve">TAX &amp; NOPAT</t>
  </si>
  <si>
    <t xml:space="preserve">Tax on EBIT (statutory)</t>
  </si>
  <si>
    <t xml:space="preserve">Forecast = EBIT x statutory tax rate (30%).</t>
  </si>
  <si>
    <t xml:space="preserve">NOPAT</t>
  </si>
  <si>
    <t xml:space="preserve">EBIT - tax. Feeds the DCF.</t>
  </si>
  <si>
    <t xml:space="preserve">DNL balance sheet summary at 30 Sep 2025 (AUD m)</t>
  </si>
  <si>
    <t xml:space="preserve">Line</t>
  </si>
  <si>
    <t xml:space="preserve">ASSETS</t>
  </si>
  <si>
    <t xml:space="preserve">Cash and short-term investments</t>
  </si>
  <si>
    <t xml:space="preserve">Cash 207.2 + ST investments 440.0.</t>
  </si>
  <si>
    <t xml:space="preserve">Net receivables</t>
  </si>
  <si>
    <t xml:space="preserve">Inventory</t>
  </si>
  <si>
    <t xml:space="preserve">Other current assets</t>
  </si>
  <si>
    <t xml:space="preserve">Total current assets</t>
  </si>
  <si>
    <t xml:space="preserve">Cash + receivables + inventory + other current.</t>
  </si>
  <si>
    <t xml:space="preserve">Property, plant &amp; equipment (net)</t>
  </si>
  <si>
    <t xml:space="preserve">Goodwill</t>
  </si>
  <si>
    <t xml:space="preserve">Acquisition-related; dominated by US deals over past two decades.</t>
  </si>
  <si>
    <t xml:space="preserve">Intangible assets</t>
  </si>
  <si>
    <t xml:space="preserve">Long-term investments</t>
  </si>
  <si>
    <t xml:space="preserve">Other non-current assets</t>
  </si>
  <si>
    <t xml:space="preserve">Total non-current assets</t>
  </si>
  <si>
    <t xml:space="preserve">PP&amp;E + goodwill + intangibles + LT inv + other NCA.</t>
  </si>
  <si>
    <t xml:space="preserve">Total assets</t>
  </si>
  <si>
    <t xml:space="preserve">Current + non-current.</t>
  </si>
  <si>
    <t xml:space="preserve">LIABILITIES &amp; EQUITY</t>
  </si>
  <si>
    <t xml:space="preserve">Accounts payable</t>
  </si>
  <si>
    <t xml:space="preserve">Short-term debt</t>
  </si>
  <si>
    <t xml:space="preserve">Other current liabilities</t>
  </si>
  <si>
    <t xml:space="preserve">Total current liabilities</t>
  </si>
  <si>
    <t xml:space="preserve">Long-term debt</t>
  </si>
  <si>
    <t xml:space="preserve">Capital lease obligations</t>
  </si>
  <si>
    <t xml:space="preserve">Lease liabilities under AASB 16.</t>
  </si>
  <si>
    <t xml:space="preserve">Other long-term liabilities</t>
  </si>
  <si>
    <t xml:space="preserve">Total non-current liabilities</t>
  </si>
  <si>
    <t xml:space="preserve">Total liabilities</t>
  </si>
  <si>
    <t xml:space="preserve">Current + non-current liabilities.</t>
  </si>
  <si>
    <t xml:space="preserve">Total equity (attributable to shareholders)</t>
  </si>
  <si>
    <t xml:space="preserve">Per reported balance sheet.</t>
  </si>
  <si>
    <t xml:space="preserve">Minority interests</t>
  </si>
  <si>
    <t xml:space="preserve">Immaterial; rounded out.</t>
  </si>
  <si>
    <t xml:space="preserve">DEBT &amp; LEVERAGE</t>
  </si>
  <si>
    <t xml:space="preserve">Gross debt</t>
  </si>
  <si>
    <t xml:space="preserve">Short-term + long-term + capital leases.</t>
  </si>
  <si>
    <t xml:space="preserve">less: cash and short-term investments</t>
  </si>
  <si>
    <t xml:space="preserve">Reconciles to derived_metrics.net_debt (1,809.8).</t>
  </si>
  <si>
    <t xml:space="preserve">Net debt (normalised steady-state)</t>
  </si>
  <si>
    <t xml:space="preserve">Override used in DCF. Mid-point of estimated AUD 1.2-1.4bn underlying leverage.</t>
  </si>
  <si>
    <t xml:space="preserve">Net debt / EBITDA (TTM)</t>
  </si>
  <si>
    <t xml:space="preserve">TTM EBITDA AUD 853.6m. Reported leverage 2.12x.</t>
  </si>
  <si>
    <t xml:space="preserve">Net debt / EBITDA (normalised, Y1 forecast)</t>
  </si>
  <si>
    <t xml:space="preserve">Approximate: normalised net debt over Year-1 forecast EBITDA (EBIT x ~1.53 for D&amp;A pickup).</t>
  </si>
  <si>
    <t xml:space="preserve">DNL WACC component build-up (Muddle Through, 24 May 2026)</t>
  </si>
  <si>
    <t xml:space="preserve">Component</t>
  </si>
  <si>
    <t xml:space="preserve">Source / formula</t>
  </si>
  <si>
    <t xml:space="preserve">COST OF EQUITY (CAPM)</t>
  </si>
  <si>
    <t xml:space="preserve">10Y AUD govt bond yield (May 2026).</t>
  </si>
  <si>
    <t xml:space="preserve">Mature-Australia ERP (Damodaran-style).</t>
  </si>
  <si>
    <t xml:space="preserve">Pre-demerger IPL 1.05-1.10; pure-play uplift to 1.15.</t>
  </si>
  <si>
    <t xml:space="preserve">Cost of equity (Re)</t>
  </si>
  <si>
    <t xml:space="preserve">Re = Rf + Beta x ERP.</t>
  </si>
  <si>
    <t xml:space="preserve">COST OF DEBT (AFTER-TAX)</t>
  </si>
  <si>
    <t xml:space="preserve">Cost of debt, pre-tax (Rd)</t>
  </si>
  <si>
    <t xml:space="preserve">AUD BBB-tier spread ~170bps over 10Y sovereign.</t>
  </si>
  <si>
    <t xml:space="preserve">Tax rate</t>
  </si>
  <si>
    <t xml:space="preserve">Australian statutory rate (30%).</t>
  </si>
  <si>
    <t xml:space="preserve">Cost of debt, after-tax</t>
  </si>
  <si>
    <t xml:space="preserve">Rd_after_tax = Rd_pretax x (1 - tax).</t>
  </si>
  <si>
    <t xml:space="preserve">CAPITAL-STRUCTURE WEIGHTS (market value)</t>
  </si>
  <si>
    <t xml:space="preserve">1,884m shares x AUD 3.61 (21 May 2026).</t>
  </si>
  <si>
    <t xml:space="preserve">Reported net debt — market sees this on the balance sheet today.</t>
  </si>
  <si>
    <t xml:space="preserve">Enterprise value (V = E + D)</t>
  </si>
  <si>
    <t xml:space="preserve">Equity weight (E/V)</t>
  </si>
  <si>
    <t xml:space="preserve">Debt weight (D/V)</t>
  </si>
  <si>
    <t xml:space="preserve">WACC</t>
  </si>
  <si>
    <t xml:space="preserve">Baseline WACC</t>
  </si>
  <si>
    <t xml:space="preserve">WACC = (E/V) x Re + (D/V) x Rd_after_tax.</t>
  </si>
  <si>
    <t xml:space="preserve">Scenario WACC adjustment</t>
  </si>
  <si>
    <t xml:space="preserve">Sum of rate-driver deltas (bps -&gt; decimal). Muddle Through = 0.</t>
  </si>
  <si>
    <t xml:space="preserve">Applied WACC (Muddle Through)</t>
  </si>
  <si>
    <t xml:space="preserve">Baseline WACC + scenario rate adjustments.</t>
  </si>
  <si>
    <t xml:space="preserve">DNL DCF — Muddle Through (5-yr explicit + Gordon-growth terminal)</t>
  </si>
  <si>
    <t xml:space="preserve">Terminal</t>
  </si>
  <si>
    <t xml:space="preserve">INPUTS (linked from P&amp;L Summary)</t>
  </si>
  <si>
    <t xml:space="preserve">From P&amp;L Summary Y1-Y5.</t>
  </si>
  <si>
    <t xml:space="preserve">EBIT margin</t>
  </si>
  <si>
    <t xml:space="preserve">FREE CASH FLOW BRIDGE</t>
  </si>
  <si>
    <t xml:space="preserve">Less: tax on EBIT</t>
  </si>
  <si>
    <t xml:space="preserve">Plus: D&amp;A</t>
  </si>
  <si>
    <t xml:space="preserve">Less: capex</t>
  </si>
  <si>
    <t xml:space="preserve">Less: change in working capital</t>
  </si>
  <si>
    <t xml:space="preserve">Unlevered free cash flow (FCFF)</t>
  </si>
  <si>
    <t xml:space="preserve">NOPAT + D&amp;A - Capex - delta WC.</t>
  </si>
  <si>
    <t xml:space="preserve">DISCOUNTING</t>
  </si>
  <si>
    <t xml:space="preserve">Period (end-period convention)</t>
  </si>
  <si>
    <t xml:space="preserve">Discount factor</t>
  </si>
  <si>
    <t xml:space="preserve">PV of FCFF</t>
  </si>
  <si>
    <t xml:space="preserve">TERMINAL VALUE (Gordon growth)</t>
  </si>
  <si>
    <t xml:space="preserve">Terminal growth rate (g)</t>
  </si>
  <si>
    <t xml:space="preserve">Baseline terminal growth + scenario delta (Muddle: 0bps).</t>
  </si>
  <si>
    <t xml:space="preserve">Terminal-year FCF (= Y5 FCF x (1+g))</t>
  </si>
  <si>
    <t xml:space="preserve">Terminal value (= TFCF / (WACC - g))</t>
  </si>
  <si>
    <t xml:space="preserve">Discount factor at end Y5</t>
  </si>
  <si>
    <t xml:space="preserve">PV of terminal value</t>
  </si>
  <si>
    <t xml:space="preserve">VALUATION SUMMARY</t>
  </si>
  <si>
    <t xml:space="preserve">Sum of PV of explicit FCFF (Y1-Y5)</t>
  </si>
  <si>
    <t xml:space="preserve">Plus: PV of terminal value</t>
  </si>
  <si>
    <t xml:space="preserve">Enterprise value (EV)</t>
  </si>
  <si>
    <t xml:space="preserve">Less: net debt (steady-state normalised)</t>
  </si>
  <si>
    <t xml:space="preserve">Equity value</t>
  </si>
  <si>
    <t xml:space="preserve">VALUE PER SHARE</t>
  </si>
  <si>
    <t xml:space="preserve">DIAGNOSTICS</t>
  </si>
  <si>
    <t xml:space="preserve">Terminal share of EV</t>
  </si>
  <si>
    <t xml:space="preserve">Validator (§11.4.2 / §15.2): warn if &gt; 70%. Production Step 7 to add fade-period to discipline this.</t>
  </si>
  <si>
    <t xml:space="preserve">Market reference per share</t>
  </si>
  <si>
    <t xml:space="preserve">ASX close 21 May 2026; consensus target also AUD 3.61.</t>
  </si>
  <si>
    <t xml:space="preserve">Discount vs market</t>
  </si>
  <si>
    <t xml:space="preserve">Negative = our valuation below market; positive = above. Muddle Through is the more-sceptical-than-market case by design.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</si>
</sst>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;\(0.0%\);\-"/>
    <numFmt numFmtId="167" formatCode="0.00%;\(0.00%\);\-"/>
    <numFmt numFmtId="168" formatCode="0.00"/>
    <numFmt numFmtId="169" formatCode="0&quot;bps&quot;"/>
    <numFmt numFmtId="170" formatCode="0"/>
    <numFmt numFmtId="171" formatCode="@"/>
    <numFmt numFmtId="172" formatCode="#,##0;\(#,##0\);\-"/>
    <numFmt numFmtId="173" formatCode="0.00\x"/>
    <numFmt numFmtId="174" formatCode="0.0000"/>
    <numFmt numFmtId="175" formatCode="&quot;AUD &quot;#,##0.00;&quot;(AUD 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60"/>
  </cols>
  <sheetData>
    <row r="1" customFormat="false" ht="27.75" hidden="false" customHeight="true" outlineLevel="0" collapsed="false">
      <c r="B1" s="2" t="s">
        <v>0</v>
      </c>
    </row>
    <row r="3" customFormat="false" ht="26.2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6" customFormat="false" ht="15" hidden="false" customHeight="true" outlineLevel="0" collapsed="false">
      <c r="B6" s="3" t="s">
        <v>7</v>
      </c>
      <c r="C6" s="4" t="s">
        <v>8</v>
      </c>
    </row>
    <row r="7" customFormat="false" ht="26.25" hidden="false" customHeight="true" outlineLevel="0" collapsed="false">
      <c r="B7" s="3" t="s">
        <v>9</v>
      </c>
      <c r="C7" s="4" t="s">
        <v>10</v>
      </c>
    </row>
    <row r="8" customFormat="false" ht="15" hidden="false" customHeight="true" outlineLevel="0" collapsed="false">
      <c r="B8" s="3"/>
      <c r="C8" s="4"/>
    </row>
    <row r="9" customFormat="false" ht="15" hidden="false" customHeight="true" outlineLevel="0" collapsed="false">
      <c r="B9" s="3" t="s">
        <v>11</v>
      </c>
      <c r="C9" s="4"/>
    </row>
    <row r="10" customFormat="false" ht="26.25" hidden="false" customHeight="true" outlineLevel="0" collapsed="false">
      <c r="B10" s="3" t="s">
        <v>12</v>
      </c>
      <c r="C10" s="4" t="s">
        <v>13</v>
      </c>
    </row>
    <row r="11" customFormat="false" ht="26.2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26.25" hidden="false" customHeight="true" outlineLevel="0" collapsed="false">
      <c r="B13" s="3" t="s">
        <v>18</v>
      </c>
      <c r="C13" s="4" t="s">
        <v>19</v>
      </c>
    </row>
    <row r="14" customFormat="false" ht="26.25" hidden="false" customHeight="true" outlineLevel="0" collapsed="false">
      <c r="B14" s="3" t="s">
        <v>20</v>
      </c>
      <c r="C14" s="4" t="s">
        <v>21</v>
      </c>
    </row>
    <row r="15" customFormat="false" ht="15" hidden="false" customHeight="true" outlineLevel="0" collapsed="false">
      <c r="B15" s="3"/>
      <c r="C15" s="4"/>
    </row>
    <row r="16" customFormat="false" ht="15" hidden="false" customHeight="true" outlineLevel="0" collapsed="false">
      <c r="B16" s="3" t="s">
        <v>22</v>
      </c>
      <c r="C16" s="4"/>
    </row>
    <row r="17" customFormat="false" ht="26.25" hidden="false" customHeight="true" outlineLevel="0" collapsed="false">
      <c r="B17" s="3" t="s">
        <v>23</v>
      </c>
      <c r="C17" s="4" t="s">
        <v>24</v>
      </c>
    </row>
    <row r="18" customFormat="false" ht="26.25" hidden="false" customHeight="true" outlineLevel="0" collapsed="false">
      <c r="B18" s="3" t="s">
        <v>25</v>
      </c>
      <c r="C18" s="4" t="s">
        <v>26</v>
      </c>
    </row>
    <row r="19" customFormat="false" ht="26.25" hidden="false" customHeight="true" outlineLevel="0" collapsed="false">
      <c r="B19" s="3" t="s">
        <v>27</v>
      </c>
      <c r="C19" s="4" t="s">
        <v>28</v>
      </c>
    </row>
    <row r="20" customFormat="false" ht="15" hidden="false" customHeight="true" outlineLevel="0" collapsed="false">
      <c r="B20" s="3" t="s">
        <v>29</v>
      </c>
      <c r="C20" s="4" t="s">
        <v>30</v>
      </c>
    </row>
    <row r="21" customFormat="false" ht="15" hidden="false" customHeight="true" outlineLevel="0" collapsed="false">
      <c r="B21" s="3" t="s">
        <v>31</v>
      </c>
      <c r="C21" s="4" t="s">
        <v>32</v>
      </c>
    </row>
    <row r="22" customFormat="false" ht="15" hidden="false" customHeight="true" outlineLevel="0" collapsed="false">
      <c r="B22" s="3" t="s">
        <v>33</v>
      </c>
      <c r="C22" s="4" t="s">
        <v>34</v>
      </c>
    </row>
    <row r="23" customFormat="false" ht="15" hidden="false" customHeight="true" outlineLevel="0" collapsed="false">
      <c r="B23" s="3"/>
      <c r="C23" s="4"/>
    </row>
    <row r="24" customFormat="false" ht="15" hidden="false" customHeight="true" outlineLevel="0" collapsed="false">
      <c r="B24" s="3" t="s">
        <v>35</v>
      </c>
      <c r="C24" s="4"/>
    </row>
    <row r="25" customFormat="false" ht="15" hidden="false" customHeight="true" outlineLevel="0" collapsed="false">
      <c r="B25" s="3" t="s">
        <v>36</v>
      </c>
      <c r="C25" s="4" t="s">
        <v>37</v>
      </c>
    </row>
    <row r="26" customFormat="false" ht="15" hidden="false" customHeight="true" outlineLevel="0" collapsed="false">
      <c r="B26" s="3" t="s">
        <v>38</v>
      </c>
      <c r="C26" s="4" t="s">
        <v>39</v>
      </c>
    </row>
    <row r="27" customFormat="false" ht="15" hidden="false" customHeight="true" outlineLevel="0" collapsed="false">
      <c r="B27" s="3" t="s">
        <v>40</v>
      </c>
      <c r="C27" s="4" t="s">
        <v>41</v>
      </c>
    </row>
    <row r="28" customFormat="false" ht="15" hidden="false" customHeight="true" outlineLevel="0" collapsed="false">
      <c r="B28" s="3" t="s">
        <v>42</v>
      </c>
      <c r="C28" s="4" t="s">
        <v>43</v>
      </c>
    </row>
    <row r="29" customFormat="false" ht="15" hidden="false" customHeight="true" outlineLevel="0" collapsed="false">
      <c r="B29" s="3"/>
      <c r="C29" s="4"/>
    </row>
    <row r="30" customFormat="false" ht="26.25" hidden="false" customHeight="true" outlineLevel="0" collapsed="false">
      <c r="B30" s="3" t="s">
        <v>44</v>
      </c>
      <c r="C30" s="4" t="s">
        <v>45</v>
      </c>
    </row>
    <row r="31" customFormat="false" ht="26.25" hidden="false" customHeight="true" outlineLevel="0" collapsed="false">
      <c r="B31" s="3" t="s">
        <v>46</v>
      </c>
      <c r="C31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5" t="s">
        <v>48</v>
      </c>
      <c r="B1" s="5" t="s">
        <v>49</v>
      </c>
      <c r="C1" s="5" t="s">
        <v>50</v>
      </c>
      <c r="D1" s="5" t="s">
        <v>51</v>
      </c>
    </row>
    <row r="2" customFormat="false" ht="21.75" hidden="false" customHeight="true" outlineLevel="0" collapsed="false">
      <c r="A2" s="6" t="s">
        <v>52</v>
      </c>
      <c r="B2" s="7"/>
      <c r="C2" s="7"/>
      <c r="D2" s="7"/>
    </row>
    <row r="3" customFormat="false" ht="51.75" hidden="false" customHeight="true" outlineLevel="0" collapsed="false">
      <c r="A3" s="4" t="s">
        <v>53</v>
      </c>
      <c r="B3" s="8" t="n">
        <v>3905.4</v>
      </c>
      <c r="C3" s="9" t="s">
        <v>54</v>
      </c>
      <c r="D3" s="4" t="s">
        <v>55</v>
      </c>
    </row>
    <row r="4" customFormat="false" ht="64.5" hidden="false" customHeight="true" outlineLevel="0" collapsed="false">
      <c r="A4" s="4" t="s">
        <v>56</v>
      </c>
      <c r="B4" s="10" t="n">
        <v>0.135</v>
      </c>
      <c r="C4" s="9" t="s">
        <v>57</v>
      </c>
      <c r="D4" s="4" t="s">
        <v>58</v>
      </c>
    </row>
    <row r="5" customFormat="false" ht="39" hidden="false" customHeight="true" outlineLevel="0" collapsed="false">
      <c r="A5" s="4" t="s">
        <v>59</v>
      </c>
      <c r="B5" s="11" t="n">
        <v>0.07</v>
      </c>
      <c r="C5" s="9" t="s">
        <v>57</v>
      </c>
      <c r="D5" s="4" t="s">
        <v>60</v>
      </c>
    </row>
    <row r="6" customFormat="false" ht="39" hidden="false" customHeight="true" outlineLevel="0" collapsed="false">
      <c r="A6" s="4" t="s">
        <v>61</v>
      </c>
      <c r="B6" s="11" t="n">
        <v>0.073</v>
      </c>
      <c r="C6" s="9" t="s">
        <v>57</v>
      </c>
      <c r="D6" s="4" t="s">
        <v>62</v>
      </c>
    </row>
    <row r="7" customFormat="false" ht="39" hidden="false" customHeight="true" outlineLevel="0" collapsed="false">
      <c r="A7" s="4" t="s">
        <v>63</v>
      </c>
      <c r="B7" s="11" t="n">
        <v>0.3</v>
      </c>
      <c r="C7" s="9" t="s">
        <v>57</v>
      </c>
      <c r="D7" s="4" t="s">
        <v>64</v>
      </c>
    </row>
    <row r="8" customFormat="false" ht="26.25" hidden="false" customHeight="true" outlineLevel="0" collapsed="false">
      <c r="A8" s="4" t="s">
        <v>65</v>
      </c>
      <c r="B8" s="8" t="n">
        <v>0</v>
      </c>
      <c r="C8" s="9" t="s">
        <v>66</v>
      </c>
      <c r="D8" s="4" t="s">
        <v>67</v>
      </c>
    </row>
    <row r="9" customFormat="false" ht="39" hidden="false" customHeight="true" outlineLevel="0" collapsed="false">
      <c r="A9" s="4" t="s">
        <v>68</v>
      </c>
      <c r="B9" s="8" t="n">
        <v>1809.8</v>
      </c>
      <c r="C9" s="9" t="s">
        <v>54</v>
      </c>
      <c r="D9" s="4" t="s">
        <v>69</v>
      </c>
    </row>
    <row r="10" customFormat="false" ht="39" hidden="false" customHeight="true" outlineLevel="0" collapsed="false">
      <c r="A10" s="4" t="s">
        <v>70</v>
      </c>
      <c r="B10" s="12" t="n">
        <v>1300</v>
      </c>
      <c r="C10" s="9" t="s">
        <v>54</v>
      </c>
      <c r="D10" s="4" t="s">
        <v>71</v>
      </c>
    </row>
    <row r="11" customFormat="false" ht="26.25" hidden="false" customHeight="true" outlineLevel="0" collapsed="false">
      <c r="A11" s="4" t="s">
        <v>72</v>
      </c>
      <c r="B11" s="8" t="n">
        <v>1875.91</v>
      </c>
      <c r="C11" s="9" t="s">
        <v>73</v>
      </c>
      <c r="D11" s="4" t="s">
        <v>74</v>
      </c>
    </row>
    <row r="13" customFormat="false" ht="21.75" hidden="false" customHeight="true" outlineLevel="0" collapsed="false">
      <c r="A13" s="6" t="s">
        <v>75</v>
      </c>
      <c r="B13" s="7"/>
      <c r="C13" s="7"/>
      <c r="D13" s="7"/>
    </row>
    <row r="14" customFormat="false" ht="39" hidden="false" customHeight="true" outlineLevel="0" collapsed="false">
      <c r="A14" s="4" t="s">
        <v>76</v>
      </c>
      <c r="B14" s="11" t="n">
        <v>0.02</v>
      </c>
      <c r="C14" s="9" t="s">
        <v>77</v>
      </c>
      <c r="D14" s="4" t="s">
        <v>78</v>
      </c>
    </row>
    <row r="15" customFormat="false" ht="64.5" hidden="false" customHeight="true" outlineLevel="0" collapsed="false">
      <c r="A15" s="4" t="s">
        <v>79</v>
      </c>
      <c r="B15" s="13" t="n">
        <v>0</v>
      </c>
      <c r="C15" s="9" t="s">
        <v>77</v>
      </c>
      <c r="D15" s="4" t="s">
        <v>80</v>
      </c>
    </row>
    <row r="16" customFormat="false" ht="39" hidden="false" customHeight="true" outlineLevel="0" collapsed="false">
      <c r="A16" s="4" t="s">
        <v>81</v>
      </c>
      <c r="B16" s="13" t="n">
        <v>0</v>
      </c>
      <c r="C16" s="9" t="s">
        <v>77</v>
      </c>
      <c r="D16" s="4" t="s">
        <v>82</v>
      </c>
    </row>
    <row r="18" customFormat="false" ht="21.75" hidden="false" customHeight="true" outlineLevel="0" collapsed="false">
      <c r="A18" s="6" t="s">
        <v>83</v>
      </c>
      <c r="B18" s="7"/>
      <c r="C18" s="7"/>
      <c r="D18" s="7"/>
    </row>
    <row r="19" customFormat="false" ht="26.25" hidden="false" customHeight="true" outlineLevel="0" collapsed="false">
      <c r="A19" s="4" t="s">
        <v>84</v>
      </c>
      <c r="B19" s="13" t="n">
        <v>0</v>
      </c>
      <c r="C19" s="9" t="s">
        <v>85</v>
      </c>
      <c r="D19" s="4" t="s">
        <v>86</v>
      </c>
    </row>
    <row r="20" customFormat="false" ht="51.75" hidden="false" customHeight="true" outlineLevel="0" collapsed="false">
      <c r="A20" s="4" t="s">
        <v>87</v>
      </c>
      <c r="B20" s="13" t="n">
        <v>0</v>
      </c>
      <c r="C20" s="9" t="s">
        <v>85</v>
      </c>
      <c r="D20" s="4" t="s">
        <v>88</v>
      </c>
    </row>
    <row r="21" customFormat="false" ht="26.25" hidden="false" customHeight="true" outlineLevel="0" collapsed="false">
      <c r="A21" s="4" t="s">
        <v>89</v>
      </c>
      <c r="B21" s="13" t="n">
        <v>0</v>
      </c>
      <c r="C21" s="9" t="s">
        <v>85</v>
      </c>
      <c r="D21" s="4" t="s">
        <v>90</v>
      </c>
    </row>
    <row r="23" customFormat="false" ht="21.75" hidden="false" customHeight="true" outlineLevel="0" collapsed="false">
      <c r="A23" s="6" t="s">
        <v>91</v>
      </c>
      <c r="B23" s="7"/>
      <c r="C23" s="7"/>
      <c r="D23" s="7"/>
    </row>
    <row r="24" customFormat="false" ht="51.75" hidden="false" customHeight="true" outlineLevel="0" collapsed="false">
      <c r="A24" s="4" t="s">
        <v>92</v>
      </c>
      <c r="B24" s="14" t="n">
        <v>0.043</v>
      </c>
      <c r="C24" s="9" t="s">
        <v>57</v>
      </c>
      <c r="D24" s="4" t="s">
        <v>93</v>
      </c>
    </row>
    <row r="25" customFormat="false" ht="64.5" hidden="false" customHeight="true" outlineLevel="0" collapsed="false">
      <c r="A25" s="4" t="s">
        <v>94</v>
      </c>
      <c r="B25" s="14" t="n">
        <v>0.05</v>
      </c>
      <c r="C25" s="9" t="s">
        <v>57</v>
      </c>
      <c r="D25" s="4" t="s">
        <v>95</v>
      </c>
    </row>
    <row r="26" customFormat="false" ht="64.5" hidden="false" customHeight="true" outlineLevel="0" collapsed="false">
      <c r="A26" s="4" t="s">
        <v>96</v>
      </c>
      <c r="B26" s="15" t="n">
        <v>1.15</v>
      </c>
      <c r="C26" s="9" t="s">
        <v>97</v>
      </c>
      <c r="D26" s="4" t="s">
        <v>98</v>
      </c>
    </row>
    <row r="27" customFormat="false" ht="64.5" hidden="false" customHeight="true" outlineLevel="0" collapsed="false">
      <c r="A27" s="4" t="s">
        <v>99</v>
      </c>
      <c r="B27" s="13" t="n">
        <v>0.06</v>
      </c>
      <c r="C27" s="9" t="s">
        <v>57</v>
      </c>
      <c r="D27" s="4" t="s">
        <v>100</v>
      </c>
    </row>
    <row r="28" customFormat="false" ht="39" hidden="false" customHeight="true" outlineLevel="0" collapsed="false">
      <c r="A28" s="4" t="s">
        <v>101</v>
      </c>
      <c r="B28" s="8" t="n">
        <v>6802</v>
      </c>
      <c r="C28" s="9" t="s">
        <v>54</v>
      </c>
      <c r="D28" s="4" t="s">
        <v>102</v>
      </c>
    </row>
    <row r="29" customFormat="false" ht="51.75" hidden="false" customHeight="true" outlineLevel="0" collapsed="false">
      <c r="A29" s="4" t="s">
        <v>103</v>
      </c>
      <c r="B29" s="8" t="n">
        <v>1810</v>
      </c>
      <c r="C29" s="9" t="s">
        <v>54</v>
      </c>
      <c r="D29" s="4" t="s">
        <v>104</v>
      </c>
    </row>
    <row r="31" customFormat="false" ht="21.75" hidden="false" customHeight="true" outlineLevel="0" collapsed="false">
      <c r="A31" s="6" t="s">
        <v>105</v>
      </c>
      <c r="B31" s="7"/>
      <c r="C31" s="7"/>
      <c r="D31" s="7"/>
    </row>
    <row r="32" customFormat="false" ht="51.75" hidden="false" customHeight="true" outlineLevel="0" collapsed="false">
      <c r="A32" s="4" t="s">
        <v>106</v>
      </c>
      <c r="B32" s="16" t="n">
        <v>0</v>
      </c>
      <c r="C32" s="9" t="s">
        <v>107</v>
      </c>
      <c r="D32" s="4" t="s">
        <v>108</v>
      </c>
    </row>
    <row r="33" customFormat="false" ht="15" hidden="false" customHeight="true" outlineLevel="0" collapsed="false">
      <c r="A33" s="4" t="s">
        <v>109</v>
      </c>
      <c r="B33" s="16" t="n">
        <v>0</v>
      </c>
      <c r="C33" s="9" t="s">
        <v>107</v>
      </c>
      <c r="D33" s="4" t="s">
        <v>110</v>
      </c>
    </row>
    <row r="34" customFormat="false" ht="39" hidden="false" customHeight="true" outlineLevel="0" collapsed="false">
      <c r="A34" s="4" t="s">
        <v>111</v>
      </c>
      <c r="B34" s="16" t="n">
        <v>0</v>
      </c>
      <c r="C34" s="9" t="s">
        <v>107</v>
      </c>
      <c r="D34" s="4" t="s">
        <v>112</v>
      </c>
    </row>
    <row r="35" customFormat="false" ht="51.75" hidden="false" customHeight="true" outlineLevel="0" collapsed="false">
      <c r="A35" s="4" t="s">
        <v>113</v>
      </c>
      <c r="B35" s="10" t="n">
        <v>0.025</v>
      </c>
      <c r="C35" s="9" t="s">
        <v>57</v>
      </c>
      <c r="D35" s="4" t="s">
        <v>114</v>
      </c>
    </row>
    <row r="37" customFormat="false" ht="21.75" hidden="false" customHeight="true" outlineLevel="0" collapsed="false">
      <c r="A37" s="6" t="s">
        <v>115</v>
      </c>
      <c r="B37" s="7"/>
      <c r="C37" s="7"/>
      <c r="D37" s="7"/>
    </row>
    <row r="38" customFormat="false" ht="51.75" hidden="false" customHeight="true" outlineLevel="0" collapsed="false">
      <c r="A38" s="4" t="s">
        <v>116</v>
      </c>
      <c r="B38" s="17" t="n">
        <v>5</v>
      </c>
      <c r="C38" s="9" t="s">
        <v>117</v>
      </c>
      <c r="D38" s="4" t="s">
        <v>118</v>
      </c>
    </row>
    <row r="39" customFormat="false" ht="15" hidden="false" customHeight="true" outlineLevel="0" collapsed="false">
      <c r="A39" s="4" t="s">
        <v>119</v>
      </c>
      <c r="B39" s="18" t="s">
        <v>120</v>
      </c>
      <c r="C39" s="9"/>
      <c r="D39" s="4" t="s">
        <v>121</v>
      </c>
    </row>
    <row r="41" customFormat="false" ht="64.5" hidden="false" customHeight="true" outlineLevel="0" collapsed="false">
      <c r="A41" s="3" t="s">
        <v>122</v>
      </c>
      <c r="D41" s="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3"/>
    <col collapsed="false" customWidth="true" hidden="false" outlineLevel="0" max="5" min="5" style="1" width="2"/>
    <col collapsed="false" customWidth="true" hidden="false" outlineLevel="0" max="10" min="6" style="1" width="13"/>
    <col collapsed="false" customWidth="true" hidden="false" outlineLevel="0" max="11" min="11" style="1" width="22"/>
  </cols>
  <sheetData>
    <row r="1" customFormat="false" ht="15.75" hidden="false" customHeight="true" outlineLevel="0" collapsed="false">
      <c r="A1" s="19" t="s">
        <v>124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customFormat="false" ht="19.5" hidden="false" customHeight="true" outlineLevel="0" collapsed="false">
      <c r="A3" s="6" t="s">
        <v>125</v>
      </c>
      <c r="B3" s="5" t="s">
        <v>126</v>
      </c>
      <c r="C3" s="5" t="s">
        <v>127</v>
      </c>
      <c r="D3" s="5" t="s">
        <v>128</v>
      </c>
      <c r="E3" s="5"/>
      <c r="F3" s="5" t="s">
        <v>129</v>
      </c>
      <c r="G3" s="5" t="s">
        <v>130</v>
      </c>
      <c r="H3" s="5" t="s">
        <v>131</v>
      </c>
      <c r="I3" s="5" t="s">
        <v>132</v>
      </c>
      <c r="J3" s="5" t="s">
        <v>133</v>
      </c>
      <c r="K3" s="5" t="s">
        <v>134</v>
      </c>
    </row>
    <row r="4" customFormat="false" ht="21.75" hidden="false" customHeight="true" outlineLevel="0" collapsed="false">
      <c r="A4" s="6" t="s">
        <v>135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64.5" hidden="false" customHeight="true" outlineLevel="0" collapsed="false">
      <c r="A5" s="20" t="s">
        <v>136</v>
      </c>
      <c r="B5" s="21" t="n">
        <v>5279</v>
      </c>
      <c r="C5" s="21" t="n">
        <v>3710.1</v>
      </c>
      <c r="D5" s="21" t="n">
        <v>3905.4</v>
      </c>
      <c r="E5" s="22"/>
      <c r="F5" s="23" t="n">
        <f aca="false">Assumptions!$B$3*(1+Assumptions!$B$14+Assumptions!$B$15+Assumptions!$B$16)</f>
        <v>3983.508</v>
      </c>
      <c r="G5" s="24" t="n">
        <f aca="false">F5*(1+Assumptions!$B$14+Assumptions!$B$15+Assumptions!$B$16)</f>
        <v>4063.17816</v>
      </c>
      <c r="H5" s="24" t="n">
        <f aca="false">G5*(1+Assumptions!$B$14+Assumptions!$B$15+Assumptions!$B$16)</f>
        <v>4144.4417232</v>
      </c>
      <c r="I5" s="24" t="n">
        <f aca="false">H5*(1+Assumptions!$B$14+Assumptions!$B$15+Assumptions!$B$16)</f>
        <v>4227.330557664</v>
      </c>
      <c r="J5" s="24" t="n">
        <f aca="false">I5*(1+Assumptions!$B$14+Assumptions!$B$15+Assumptions!$B$16)</f>
        <v>4311.87716881728</v>
      </c>
      <c r="K5" s="4" t="s">
        <v>137</v>
      </c>
    </row>
    <row r="6" customFormat="false" ht="15" hidden="false" customHeight="true" outlineLevel="0" collapsed="false">
      <c r="A6" s="20" t="s">
        <v>138</v>
      </c>
      <c r="B6" s="25"/>
      <c r="C6" s="26" t="n">
        <f aca="false">C5/B5-1</f>
        <v>-0.297196438719454</v>
      </c>
      <c r="D6" s="26" t="n">
        <f aca="false">D5/C5-1</f>
        <v>0.0526400905635966</v>
      </c>
      <c r="E6" s="25"/>
      <c r="F6" s="26" t="n">
        <f aca="false">F5/D5-1</f>
        <v>0.02</v>
      </c>
      <c r="G6" s="26" t="n">
        <f aca="false">G5/F5-1</f>
        <v>0.02</v>
      </c>
      <c r="H6" s="26" t="n">
        <f aca="false">H5/G5-1</f>
        <v>0.02</v>
      </c>
      <c r="I6" s="26" t="n">
        <f aca="false">I5/H5-1</f>
        <v>0.02</v>
      </c>
      <c r="J6" s="26" t="n">
        <f aca="false">J5/I5-1</f>
        <v>0.02</v>
      </c>
    </row>
    <row r="8" customFormat="false" ht="21.75" hidden="false" customHeight="true" outlineLevel="0" collapsed="false">
      <c r="A8" s="6" t="s">
        <v>139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39" hidden="false" customHeight="true" outlineLevel="0" collapsed="false">
      <c r="A9" s="20" t="s">
        <v>140</v>
      </c>
      <c r="B9" s="22"/>
      <c r="C9" s="21" t="n">
        <v>2688.3</v>
      </c>
      <c r="D9" s="24" t="n">
        <f aca="false">D5-D11</f>
        <v>1683.1</v>
      </c>
      <c r="E9" s="22"/>
      <c r="F9" s="22"/>
      <c r="G9" s="22"/>
      <c r="H9" s="22"/>
      <c r="I9" s="22"/>
      <c r="J9" s="22"/>
      <c r="K9" s="4" t="s">
        <v>141</v>
      </c>
    </row>
    <row r="11" customFormat="false" ht="51.75" hidden="false" customHeight="true" outlineLevel="0" collapsed="false">
      <c r="A11" s="20" t="s">
        <v>142</v>
      </c>
      <c r="B11" s="22"/>
      <c r="C11" s="21" t="n">
        <v>1021.8</v>
      </c>
      <c r="D11" s="21" t="n">
        <v>2222.3</v>
      </c>
      <c r="E11" s="22"/>
      <c r="F11" s="22"/>
      <c r="G11" s="22"/>
      <c r="H11" s="22"/>
      <c r="I11" s="22"/>
      <c r="J11" s="22"/>
      <c r="K11" s="4" t="s">
        <v>143</v>
      </c>
    </row>
    <row r="12" customFormat="false" ht="26.25" hidden="false" customHeight="true" outlineLevel="0" collapsed="false">
      <c r="A12" s="20" t="s">
        <v>144</v>
      </c>
      <c r="B12" s="22"/>
      <c r="C12" s="21" t="n">
        <v>284.1</v>
      </c>
      <c r="D12" s="22"/>
      <c r="E12" s="22"/>
      <c r="F12" s="23" t="n">
        <f aca="false">F5*Assumptions!$B$6</f>
        <v>290.796084</v>
      </c>
      <c r="G12" s="23" t="n">
        <f aca="false">G5*Assumptions!$B$6</f>
        <v>296.61200568</v>
      </c>
      <c r="H12" s="23" t="n">
        <f aca="false">H5*Assumptions!$B$6</f>
        <v>302.5442457936</v>
      </c>
      <c r="I12" s="23" t="n">
        <f aca="false">I5*Assumptions!$B$6</f>
        <v>308.595130709472</v>
      </c>
      <c r="J12" s="23" t="n">
        <f aca="false">J5*Assumptions!$B$6</f>
        <v>314.767033323662</v>
      </c>
      <c r="K12" s="4" t="s">
        <v>145</v>
      </c>
    </row>
    <row r="13" customFormat="false" ht="51.75" hidden="false" customHeight="true" outlineLevel="0" collapsed="false">
      <c r="A13" s="20" t="s">
        <v>146</v>
      </c>
      <c r="B13" s="22"/>
      <c r="C13" s="21" t="n">
        <v>957.7</v>
      </c>
      <c r="D13" s="22"/>
      <c r="E13" s="22"/>
      <c r="F13" s="22"/>
      <c r="G13" s="22"/>
      <c r="H13" s="22"/>
      <c r="I13" s="22"/>
      <c r="J13" s="22"/>
      <c r="K13" s="4" t="s">
        <v>147</v>
      </c>
    </row>
    <row r="14" customFormat="false" ht="51.75" hidden="false" customHeight="true" outlineLevel="0" collapsed="false">
      <c r="A14" s="3" t="s">
        <v>148</v>
      </c>
      <c r="B14" s="27"/>
      <c r="C14" s="28" t="n">
        <v>344.2</v>
      </c>
      <c r="D14" s="29" t="n">
        <f aca="false">D5*D15</f>
        <v>438.57642</v>
      </c>
      <c r="E14" s="27"/>
      <c r="F14" s="29" t="n">
        <f aca="false">F5*(Assumptions!$B$4+Assumptions!$B$19+Assumptions!$B$20-Assumptions!$B$21)</f>
        <v>537.77358</v>
      </c>
      <c r="G14" s="29" t="n">
        <f aca="false">G5*(Assumptions!$B$4+Assumptions!$B$19+Assumptions!$B$20-Assumptions!$B$21)</f>
        <v>548.5290516</v>
      </c>
      <c r="H14" s="29" t="n">
        <f aca="false">H5*(Assumptions!$B$4+Assumptions!$B$19+Assumptions!$B$20-Assumptions!$B$21)</f>
        <v>559.499632632</v>
      </c>
      <c r="I14" s="29" t="n">
        <f aca="false">I5*(Assumptions!$B$4+Assumptions!$B$19+Assumptions!$B$20-Assumptions!$B$21)</f>
        <v>570.68962528464</v>
      </c>
      <c r="J14" s="29" t="n">
        <f aca="false">J5*(Assumptions!$B$4+Assumptions!$B$19+Assumptions!$B$20-Assumptions!$B$21)</f>
        <v>582.103417790333</v>
      </c>
      <c r="K14" s="4" t="s">
        <v>149</v>
      </c>
    </row>
    <row r="15" customFormat="false" ht="15" hidden="false" customHeight="true" outlineLevel="0" collapsed="false">
      <c r="A15" s="20" t="s">
        <v>150</v>
      </c>
      <c r="B15" s="25"/>
      <c r="C15" s="26" t="n">
        <f aca="false">C14/C5</f>
        <v>0.0927737796824883</v>
      </c>
      <c r="D15" s="30" t="n">
        <v>0.1123</v>
      </c>
      <c r="E15" s="25"/>
      <c r="F15" s="26" t="n">
        <f aca="false">F14/F5</f>
        <v>0.135</v>
      </c>
      <c r="G15" s="26" t="n">
        <f aca="false">G14/G5</f>
        <v>0.135</v>
      </c>
      <c r="H15" s="26" t="n">
        <f aca="false">H14/H5</f>
        <v>0.135</v>
      </c>
      <c r="I15" s="26" t="n">
        <f aca="false">I14/I5</f>
        <v>0.135</v>
      </c>
      <c r="J15" s="26" t="n">
        <f aca="false">J14/J5</f>
        <v>0.135</v>
      </c>
    </row>
    <row r="17" customFormat="false" ht="21.75" hidden="false" customHeight="true" outlineLevel="0" collapsed="false">
      <c r="A17" s="6" t="s">
        <v>151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39" hidden="false" customHeight="true" outlineLevel="0" collapsed="false">
      <c r="A18" s="20" t="s">
        <v>152</v>
      </c>
      <c r="B18" s="22"/>
      <c r="C18" s="22"/>
      <c r="D18" s="22"/>
      <c r="E18" s="22"/>
      <c r="F18" s="23" t="n">
        <f aca="false">F14*Assumptions!$B$7</f>
        <v>161.332074</v>
      </c>
      <c r="G18" s="23" t="n">
        <f aca="false">G14*Assumptions!$B$7</f>
        <v>164.55871548</v>
      </c>
      <c r="H18" s="23" t="n">
        <f aca="false">H14*Assumptions!$B$7</f>
        <v>167.8498897896</v>
      </c>
      <c r="I18" s="23" t="n">
        <f aca="false">I14*Assumptions!$B$7</f>
        <v>171.206887585392</v>
      </c>
      <c r="J18" s="23" t="n">
        <f aca="false">J14*Assumptions!$B$7</f>
        <v>174.6310253371</v>
      </c>
      <c r="K18" s="4" t="s">
        <v>153</v>
      </c>
    </row>
    <row r="19" customFormat="false" ht="26.25" hidden="false" customHeight="true" outlineLevel="0" collapsed="false">
      <c r="A19" s="3" t="s">
        <v>154</v>
      </c>
      <c r="B19" s="27"/>
      <c r="C19" s="27"/>
      <c r="D19" s="27"/>
      <c r="E19" s="27"/>
      <c r="F19" s="29" t="n">
        <f aca="false">F14-F18</f>
        <v>376.441506</v>
      </c>
      <c r="G19" s="29" t="n">
        <f aca="false">G14-G18</f>
        <v>383.97033612</v>
      </c>
      <c r="H19" s="29" t="n">
        <f aca="false">H14-H18</f>
        <v>391.6497428424</v>
      </c>
      <c r="I19" s="29" t="n">
        <f aca="false">I14-I18</f>
        <v>399.482737699248</v>
      </c>
      <c r="J19" s="29" t="n">
        <f aca="false">J14-J18</f>
        <v>407.472392453233</v>
      </c>
      <c r="K19" s="4" t="s">
        <v>155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31" t="s">
        <v>156</v>
      </c>
      <c r="B1" s="31"/>
      <c r="C1" s="31"/>
    </row>
    <row r="3" customFormat="false" ht="19.5" hidden="false" customHeight="true" outlineLevel="0" collapsed="false">
      <c r="A3" s="6" t="s">
        <v>157</v>
      </c>
      <c r="B3" s="5" t="s">
        <v>54</v>
      </c>
      <c r="C3" s="5" t="s">
        <v>134</v>
      </c>
    </row>
    <row r="4" customFormat="false" ht="21.75" hidden="false" customHeight="true" outlineLevel="0" collapsed="false">
      <c r="A4" s="6" t="s">
        <v>158</v>
      </c>
      <c r="B4" s="32"/>
      <c r="C4" s="32"/>
    </row>
    <row r="5" customFormat="false" ht="15" hidden="false" customHeight="false" outlineLevel="0" collapsed="false">
      <c r="A5" s="4" t="s">
        <v>159</v>
      </c>
      <c r="B5" s="33" t="n">
        <v>647.2</v>
      </c>
      <c r="C5" s="4" t="s">
        <v>160</v>
      </c>
    </row>
    <row r="6" customFormat="false" ht="15" hidden="false" customHeight="false" outlineLevel="0" collapsed="false">
      <c r="A6" s="4" t="s">
        <v>161</v>
      </c>
      <c r="B6" s="33" t="n">
        <v>840.5</v>
      </c>
    </row>
    <row r="7" customFormat="false" ht="15" hidden="false" customHeight="false" outlineLevel="0" collapsed="false">
      <c r="A7" s="4" t="s">
        <v>162</v>
      </c>
      <c r="B7" s="33" t="n">
        <v>519.1</v>
      </c>
    </row>
    <row r="8" customFormat="false" ht="15" hidden="false" customHeight="false" outlineLevel="0" collapsed="false">
      <c r="A8" s="4" t="s">
        <v>163</v>
      </c>
      <c r="B8" s="33" t="n">
        <v>115.9</v>
      </c>
    </row>
    <row r="9" customFormat="false" ht="15" hidden="false" customHeight="false" outlineLevel="0" collapsed="false">
      <c r="A9" s="34" t="s">
        <v>164</v>
      </c>
      <c r="B9" s="35" t="n">
        <f aca="false">SUM(B5:B8)</f>
        <v>2122.7</v>
      </c>
      <c r="C9" s="4" t="s">
        <v>165</v>
      </c>
    </row>
    <row r="10" customFormat="false" ht="15" hidden="false" customHeight="false" outlineLevel="0" collapsed="false">
      <c r="A10" s="4" t="s">
        <v>166</v>
      </c>
      <c r="B10" s="33" t="n">
        <v>2365.6</v>
      </c>
    </row>
    <row r="11" customFormat="false" ht="26.85" hidden="false" customHeight="false" outlineLevel="0" collapsed="false">
      <c r="A11" s="4" t="s">
        <v>167</v>
      </c>
      <c r="B11" s="33" t="n">
        <v>1778.5</v>
      </c>
      <c r="C11" s="4" t="s">
        <v>168</v>
      </c>
    </row>
    <row r="12" customFormat="false" ht="15" hidden="false" customHeight="false" outlineLevel="0" collapsed="false">
      <c r="A12" s="4" t="s">
        <v>169</v>
      </c>
      <c r="B12" s="33" t="n">
        <v>847.7</v>
      </c>
    </row>
    <row r="13" customFormat="false" ht="15" hidden="false" customHeight="false" outlineLevel="0" collapsed="false">
      <c r="A13" s="4" t="s">
        <v>170</v>
      </c>
      <c r="B13" s="33" t="n">
        <v>457.7</v>
      </c>
    </row>
    <row r="14" customFormat="false" ht="15" hidden="false" customHeight="false" outlineLevel="0" collapsed="false">
      <c r="A14" s="4" t="s">
        <v>171</v>
      </c>
      <c r="B14" s="33" t="n">
        <v>73.3</v>
      </c>
    </row>
    <row r="15" customFormat="false" ht="15" hidden="false" customHeight="false" outlineLevel="0" collapsed="false">
      <c r="A15" s="34" t="s">
        <v>172</v>
      </c>
      <c r="B15" s="35" t="n">
        <f aca="false">SUM(B10:B14)</f>
        <v>5522.8</v>
      </c>
      <c r="C15" s="4" t="s">
        <v>173</v>
      </c>
    </row>
    <row r="16" customFormat="false" ht="15" hidden="false" customHeight="false" outlineLevel="0" collapsed="false">
      <c r="A16" s="34" t="s">
        <v>174</v>
      </c>
      <c r="B16" s="35" t="n">
        <f aca="false">B9+B15</f>
        <v>7645.5</v>
      </c>
      <c r="C16" s="4" t="s">
        <v>175</v>
      </c>
    </row>
    <row r="18" customFormat="false" ht="21.75" hidden="false" customHeight="true" outlineLevel="0" collapsed="false">
      <c r="A18" s="6" t="s">
        <v>176</v>
      </c>
      <c r="B18" s="32"/>
      <c r="C18" s="32"/>
    </row>
    <row r="19" customFormat="false" ht="15" hidden="false" customHeight="false" outlineLevel="0" collapsed="false">
      <c r="A19" s="4" t="s">
        <v>177</v>
      </c>
      <c r="B19" s="33" t="n">
        <v>733.7</v>
      </c>
    </row>
    <row r="20" customFormat="false" ht="15" hidden="false" customHeight="false" outlineLevel="0" collapsed="false">
      <c r="A20" s="4" t="s">
        <v>178</v>
      </c>
      <c r="B20" s="33" t="n">
        <v>626.3</v>
      </c>
    </row>
    <row r="21" customFormat="false" ht="15" hidden="false" customHeight="false" outlineLevel="0" collapsed="false">
      <c r="A21" s="4" t="s">
        <v>179</v>
      </c>
      <c r="B21" s="33" t="n">
        <v>231.3</v>
      </c>
    </row>
    <row r="22" customFormat="false" ht="15" hidden="false" customHeight="false" outlineLevel="0" collapsed="false">
      <c r="A22" s="34" t="s">
        <v>180</v>
      </c>
      <c r="B22" s="35" t="n">
        <f aca="false">SUM(B19:B21)</f>
        <v>1591.3</v>
      </c>
    </row>
    <row r="23" customFormat="false" ht="15" hidden="false" customHeight="false" outlineLevel="0" collapsed="false">
      <c r="A23" s="4" t="s">
        <v>181</v>
      </c>
      <c r="B23" s="33" t="n">
        <v>1238.9</v>
      </c>
    </row>
    <row r="24" customFormat="false" ht="15" hidden="false" customHeight="false" outlineLevel="0" collapsed="false">
      <c r="A24" s="4" t="s">
        <v>182</v>
      </c>
      <c r="B24" s="33" t="n">
        <v>211.5</v>
      </c>
      <c r="C24" s="4" t="s">
        <v>183</v>
      </c>
    </row>
    <row r="25" customFormat="false" ht="15" hidden="false" customHeight="false" outlineLevel="0" collapsed="false">
      <c r="A25" s="4" t="s">
        <v>184</v>
      </c>
      <c r="B25" s="33" t="n">
        <v>18.2</v>
      </c>
    </row>
    <row r="26" customFormat="false" ht="15" hidden="false" customHeight="false" outlineLevel="0" collapsed="false">
      <c r="A26" s="34" t="s">
        <v>185</v>
      </c>
      <c r="B26" s="35" t="n">
        <f aca="false">SUM(B23:B25)</f>
        <v>1468.6</v>
      </c>
    </row>
    <row r="27" customFormat="false" ht="15" hidden="false" customHeight="false" outlineLevel="0" collapsed="false">
      <c r="A27" s="34" t="s">
        <v>186</v>
      </c>
      <c r="B27" s="35" t="n">
        <f aca="false">B22+B26</f>
        <v>3059.9</v>
      </c>
      <c r="C27" s="4" t="s">
        <v>187</v>
      </c>
    </row>
    <row r="28" customFormat="false" ht="15" hidden="false" customHeight="false" outlineLevel="0" collapsed="false">
      <c r="A28" s="4" t="s">
        <v>188</v>
      </c>
      <c r="B28" s="33" t="n">
        <v>4431.1</v>
      </c>
      <c r="C28" s="4" t="s">
        <v>189</v>
      </c>
    </row>
    <row r="29" customFormat="false" ht="15" hidden="false" customHeight="false" outlineLevel="0" collapsed="false">
      <c r="A29" s="4" t="s">
        <v>190</v>
      </c>
      <c r="B29" s="33" t="n">
        <v>-1.1</v>
      </c>
      <c r="C29" s="4" t="s">
        <v>191</v>
      </c>
    </row>
    <row r="31" customFormat="false" ht="21.75" hidden="false" customHeight="true" outlineLevel="0" collapsed="false">
      <c r="A31" s="6" t="s">
        <v>192</v>
      </c>
      <c r="B31" s="32"/>
      <c r="C31" s="32"/>
    </row>
    <row r="32" customFormat="false" ht="15" hidden="false" customHeight="false" outlineLevel="0" collapsed="false">
      <c r="A32" s="34" t="s">
        <v>193</v>
      </c>
      <c r="B32" s="35" t="n">
        <f aca="false">B20+B23+B24</f>
        <v>2076.7</v>
      </c>
      <c r="C32" s="4" t="s">
        <v>194</v>
      </c>
    </row>
    <row r="33" customFormat="false" ht="15" hidden="false" customHeight="false" outlineLevel="0" collapsed="false">
      <c r="A33" s="4" t="s">
        <v>195</v>
      </c>
      <c r="B33" s="36" t="n">
        <f aca="false">-B5</f>
        <v>-647.2</v>
      </c>
    </row>
    <row r="34" customFormat="false" ht="15" hidden="false" customHeight="false" outlineLevel="0" collapsed="false">
      <c r="A34" s="34" t="s">
        <v>68</v>
      </c>
      <c r="B34" s="35" t="n">
        <f aca="false">B32+B33</f>
        <v>1429.5</v>
      </c>
      <c r="C34" s="4" t="s">
        <v>196</v>
      </c>
    </row>
    <row r="35" customFormat="false" ht="26.85" hidden="false" customHeight="false" outlineLevel="0" collapsed="false">
      <c r="A35" s="34" t="s">
        <v>197</v>
      </c>
      <c r="B35" s="37" t="n">
        <f aca="false">Assumptions!$B$10</f>
        <v>1300</v>
      </c>
      <c r="C35" s="4" t="s">
        <v>198</v>
      </c>
    </row>
    <row r="36" customFormat="false" ht="15" hidden="false" customHeight="false" outlineLevel="0" collapsed="false">
      <c r="A36" s="4" t="s">
        <v>199</v>
      </c>
      <c r="B36" s="38" t="n">
        <f aca="false">B34/853.6</f>
        <v>1.67467197750703</v>
      </c>
      <c r="C36" s="4" t="s">
        <v>200</v>
      </c>
    </row>
    <row r="37" customFormat="false" ht="26.85" hidden="false" customHeight="false" outlineLevel="0" collapsed="false">
      <c r="A37" s="4" t="s">
        <v>201</v>
      </c>
      <c r="B37" s="38" t="n">
        <f aca="false">B35/('P&amp;L Summary'!F14*1.535)</f>
        <v>1.57483663935161</v>
      </c>
      <c r="C37" s="4" t="s">
        <v>202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0"/>
  </cols>
  <sheetData>
    <row r="1" customFormat="false" ht="15.75" hidden="false" customHeight="true" outlineLevel="0" collapsed="false">
      <c r="A1" s="19" t="s">
        <v>203</v>
      </c>
      <c r="B1" s="19"/>
      <c r="C1" s="19"/>
      <c r="D1" s="19"/>
    </row>
    <row r="3" customFormat="false" ht="19.5" hidden="false" customHeight="true" outlineLevel="0" collapsed="false">
      <c r="A3" s="6" t="s">
        <v>204</v>
      </c>
      <c r="B3" s="5" t="s">
        <v>49</v>
      </c>
      <c r="C3" s="5" t="s">
        <v>50</v>
      </c>
      <c r="D3" s="5" t="s">
        <v>205</v>
      </c>
    </row>
    <row r="4" customFormat="false" ht="21.75" hidden="false" customHeight="true" outlineLevel="0" collapsed="false">
      <c r="A4" s="6" t="s">
        <v>206</v>
      </c>
      <c r="B4" s="7"/>
      <c r="C4" s="7"/>
      <c r="D4" s="7"/>
    </row>
    <row r="5" customFormat="false" ht="15" hidden="false" customHeight="true" outlineLevel="0" collapsed="false">
      <c r="A5" s="4" t="s">
        <v>92</v>
      </c>
      <c r="B5" s="39" t="n">
        <f aca="false">Assumptions!$B$24</f>
        <v>0.043</v>
      </c>
      <c r="C5" s="9" t="s">
        <v>57</v>
      </c>
      <c r="D5" s="4" t="s">
        <v>207</v>
      </c>
    </row>
    <row r="6" customFormat="false" ht="15" hidden="false" customHeight="true" outlineLevel="0" collapsed="false">
      <c r="A6" s="4" t="s">
        <v>94</v>
      </c>
      <c r="B6" s="39" t="n">
        <f aca="false">Assumptions!$B$25</f>
        <v>0.05</v>
      </c>
      <c r="C6" s="9" t="s">
        <v>57</v>
      </c>
      <c r="D6" s="4" t="s">
        <v>208</v>
      </c>
    </row>
    <row r="7" customFormat="false" ht="15" hidden="false" customHeight="true" outlineLevel="0" collapsed="false">
      <c r="A7" s="4" t="s">
        <v>96</v>
      </c>
      <c r="B7" s="40" t="n">
        <f aca="false">Assumptions!$B$26</f>
        <v>1.15</v>
      </c>
      <c r="C7" s="9" t="s">
        <v>97</v>
      </c>
      <c r="D7" s="4" t="s">
        <v>209</v>
      </c>
    </row>
    <row r="8" customFormat="false" ht="15" hidden="false" customHeight="true" outlineLevel="0" collapsed="false">
      <c r="A8" s="34" t="s">
        <v>210</v>
      </c>
      <c r="B8" s="41" t="n">
        <f aca="false">B5+B7*B6</f>
        <v>0.1005</v>
      </c>
      <c r="C8" s="9" t="s">
        <v>57</v>
      </c>
      <c r="D8" s="4" t="s">
        <v>211</v>
      </c>
    </row>
    <row r="10" customFormat="false" ht="21.75" hidden="false" customHeight="true" outlineLevel="0" collapsed="false">
      <c r="A10" s="6" t="s">
        <v>212</v>
      </c>
      <c r="B10" s="7"/>
      <c r="C10" s="7"/>
      <c r="D10" s="7"/>
    </row>
    <row r="11" customFormat="false" ht="15" hidden="false" customHeight="true" outlineLevel="0" collapsed="false">
      <c r="A11" s="4" t="s">
        <v>213</v>
      </c>
      <c r="B11" s="42" t="n">
        <f aca="false">Assumptions!$B$27</f>
        <v>0.06</v>
      </c>
      <c r="C11" s="9" t="s">
        <v>57</v>
      </c>
      <c r="D11" s="4" t="s">
        <v>214</v>
      </c>
    </row>
    <row r="12" customFormat="false" ht="15" hidden="false" customHeight="true" outlineLevel="0" collapsed="false">
      <c r="A12" s="4" t="s">
        <v>215</v>
      </c>
      <c r="B12" s="42" t="n">
        <f aca="false">Assumptions!$B$7</f>
        <v>0.3</v>
      </c>
      <c r="C12" s="9" t="s">
        <v>57</v>
      </c>
      <c r="D12" s="4" t="s">
        <v>216</v>
      </c>
    </row>
    <row r="13" customFormat="false" ht="15" hidden="false" customHeight="true" outlineLevel="0" collapsed="false">
      <c r="A13" s="34" t="s">
        <v>217</v>
      </c>
      <c r="B13" s="41" t="n">
        <f aca="false">B11*(1-B12)</f>
        <v>0.042</v>
      </c>
      <c r="C13" s="9" t="s">
        <v>57</v>
      </c>
      <c r="D13" s="4" t="s">
        <v>218</v>
      </c>
    </row>
    <row r="15" customFormat="false" ht="21.75" hidden="false" customHeight="true" outlineLevel="0" collapsed="false">
      <c r="A15" s="6" t="s">
        <v>219</v>
      </c>
      <c r="B15" s="7"/>
      <c r="C15" s="7"/>
      <c r="D15" s="7"/>
    </row>
    <row r="16" customFormat="false" ht="15" hidden="false" customHeight="true" outlineLevel="0" collapsed="false">
      <c r="A16" s="4" t="s">
        <v>101</v>
      </c>
      <c r="B16" s="43" t="n">
        <f aca="false">Assumptions!$B$28</f>
        <v>6802</v>
      </c>
      <c r="C16" s="9" t="s">
        <v>54</v>
      </c>
      <c r="D16" s="4" t="s">
        <v>220</v>
      </c>
    </row>
    <row r="17" customFormat="false" ht="26.25" hidden="false" customHeight="true" outlineLevel="0" collapsed="false">
      <c r="A17" s="4" t="s">
        <v>103</v>
      </c>
      <c r="B17" s="43" t="n">
        <f aca="false">Assumptions!$B$29</f>
        <v>1810</v>
      </c>
      <c r="C17" s="9" t="s">
        <v>54</v>
      </c>
      <c r="D17" s="4" t="s">
        <v>221</v>
      </c>
    </row>
    <row r="18" customFormat="false" ht="15" hidden="false" customHeight="true" outlineLevel="0" collapsed="false">
      <c r="A18" s="4" t="s">
        <v>222</v>
      </c>
      <c r="B18" s="44" t="n">
        <f aca="false">B16+B17</f>
        <v>8612</v>
      </c>
      <c r="C18" s="9" t="s">
        <v>54</v>
      </c>
      <c r="D18" s="4"/>
    </row>
    <row r="19" customFormat="false" ht="15" hidden="false" customHeight="true" outlineLevel="0" collapsed="false">
      <c r="A19" s="4" t="s">
        <v>223</v>
      </c>
      <c r="B19" s="45" t="n">
        <f aca="false">B16/B18</f>
        <v>0.789828146771946</v>
      </c>
      <c r="C19" s="9" t="s">
        <v>57</v>
      </c>
      <c r="D19" s="4"/>
    </row>
    <row r="20" customFormat="false" ht="15" hidden="false" customHeight="true" outlineLevel="0" collapsed="false">
      <c r="A20" s="4" t="s">
        <v>224</v>
      </c>
      <c r="B20" s="45" t="n">
        <f aca="false">B17/B18</f>
        <v>0.210171853228054</v>
      </c>
      <c r="C20" s="9" t="s">
        <v>57</v>
      </c>
      <c r="D20" s="4"/>
    </row>
    <row r="22" customFormat="false" ht="21.75" hidden="false" customHeight="true" outlineLevel="0" collapsed="false">
      <c r="A22" s="6" t="s">
        <v>225</v>
      </c>
      <c r="B22" s="7"/>
      <c r="C22" s="7"/>
      <c r="D22" s="7"/>
    </row>
    <row r="23" customFormat="false" ht="15" hidden="false" customHeight="true" outlineLevel="0" collapsed="false">
      <c r="A23" s="34" t="s">
        <v>226</v>
      </c>
      <c r="B23" s="46" t="n">
        <f aca="false">B19*B8+B20*B13</f>
        <v>0.0882049465861588</v>
      </c>
      <c r="C23" s="9" t="s">
        <v>57</v>
      </c>
      <c r="D23" s="4" t="s">
        <v>227</v>
      </c>
    </row>
    <row r="24" customFormat="false" ht="15" hidden="false" customHeight="true" outlineLevel="0" collapsed="false">
      <c r="A24" s="4" t="s">
        <v>228</v>
      </c>
      <c r="B24" s="47" t="n">
        <f aca="false">(Assumptions!$B$32+Assumptions!$B$33)/10000</f>
        <v>0</v>
      </c>
      <c r="C24" s="9" t="s">
        <v>57</v>
      </c>
      <c r="D24" s="4" t="s">
        <v>229</v>
      </c>
    </row>
    <row r="25" customFormat="false" ht="15" hidden="false" customHeight="true" outlineLevel="0" collapsed="false">
      <c r="A25" s="34" t="s">
        <v>230</v>
      </c>
      <c r="B25" s="41" t="n">
        <f aca="false">B23+B24</f>
        <v>0.0882049465861588</v>
      </c>
      <c r="C25" s="9" t="s">
        <v>57</v>
      </c>
      <c r="D25" s="4" t="s">
        <v>231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4"/>
    <col collapsed="false" customWidth="true" hidden="false" outlineLevel="0" max="7" min="7" style="1" width="16"/>
    <col collapsed="false" customWidth="true" hidden="false" outlineLevel="0" max="8" min="8" style="1" width="40"/>
  </cols>
  <sheetData>
    <row r="1" customFormat="false" ht="15.75" hidden="false" customHeight="true" outlineLevel="0" collapsed="false">
      <c r="A1" s="19" t="s">
        <v>232</v>
      </c>
      <c r="B1" s="19"/>
      <c r="C1" s="19"/>
      <c r="D1" s="19"/>
      <c r="E1" s="19"/>
      <c r="F1" s="19"/>
      <c r="G1" s="19"/>
      <c r="H1" s="19"/>
    </row>
    <row r="3" customFormat="false" ht="19.5" hidden="false" customHeight="true" outlineLevel="0" collapsed="false">
      <c r="A3" s="6" t="s">
        <v>157</v>
      </c>
      <c r="B3" s="5" t="s">
        <v>129</v>
      </c>
      <c r="C3" s="5" t="s">
        <v>130</v>
      </c>
      <c r="D3" s="5" t="s">
        <v>131</v>
      </c>
      <c r="E3" s="5" t="s">
        <v>132</v>
      </c>
      <c r="F3" s="5" t="s">
        <v>133</v>
      </c>
      <c r="G3" s="5" t="s">
        <v>233</v>
      </c>
      <c r="H3" s="5" t="s">
        <v>134</v>
      </c>
    </row>
    <row r="4" customFormat="false" ht="21.75" hidden="false" customHeight="true" outlineLevel="0" collapsed="false">
      <c r="A4" s="6" t="s">
        <v>234</v>
      </c>
      <c r="B4" s="7"/>
      <c r="C4" s="7"/>
      <c r="D4" s="7"/>
      <c r="E4" s="7"/>
      <c r="F4" s="7"/>
      <c r="G4" s="7"/>
      <c r="H4" s="7"/>
    </row>
    <row r="5" customFormat="false" ht="15" hidden="false" customHeight="true" outlineLevel="0" collapsed="false">
      <c r="A5" s="20" t="s">
        <v>136</v>
      </c>
      <c r="B5" s="23" t="n">
        <f aca="false">'P&amp;L Summary'!F5</f>
        <v>3983.508</v>
      </c>
      <c r="C5" s="23" t="n">
        <f aca="false">'P&amp;L Summary'!G5</f>
        <v>4063.17816</v>
      </c>
      <c r="D5" s="23" t="n">
        <f aca="false">'P&amp;L Summary'!H5</f>
        <v>4144.4417232</v>
      </c>
      <c r="E5" s="23" t="n">
        <f aca="false">'P&amp;L Summary'!I5</f>
        <v>4227.330557664</v>
      </c>
      <c r="F5" s="23" t="n">
        <f aca="false">'P&amp;L Summary'!J5</f>
        <v>4311.87716881728</v>
      </c>
      <c r="H5" s="4" t="s">
        <v>235</v>
      </c>
    </row>
    <row r="6" customFormat="false" ht="15" hidden="false" customHeight="true" outlineLevel="0" collapsed="false">
      <c r="A6" s="20" t="s">
        <v>236</v>
      </c>
      <c r="B6" s="48" t="n">
        <f aca="false">'P&amp;L Summary'!F15</f>
        <v>0.135</v>
      </c>
      <c r="C6" s="48" t="n">
        <f aca="false">'P&amp;L Summary'!G15</f>
        <v>0.135</v>
      </c>
      <c r="D6" s="48" t="n">
        <f aca="false">'P&amp;L Summary'!H15</f>
        <v>0.135</v>
      </c>
      <c r="E6" s="48" t="n">
        <f aca="false">'P&amp;L Summary'!I15</f>
        <v>0.135</v>
      </c>
      <c r="F6" s="48" t="n">
        <f aca="false">'P&amp;L Summary'!J15</f>
        <v>0.135</v>
      </c>
    </row>
    <row r="7" customFormat="false" ht="15" hidden="false" customHeight="true" outlineLevel="0" collapsed="false">
      <c r="A7" s="20" t="s">
        <v>148</v>
      </c>
      <c r="B7" s="23" t="n">
        <f aca="false">'P&amp;L Summary'!F14</f>
        <v>537.77358</v>
      </c>
      <c r="C7" s="23" t="n">
        <f aca="false">'P&amp;L Summary'!G14</f>
        <v>548.5290516</v>
      </c>
      <c r="D7" s="23" t="n">
        <f aca="false">'P&amp;L Summary'!H14</f>
        <v>559.499632632</v>
      </c>
      <c r="E7" s="23" t="n">
        <f aca="false">'P&amp;L Summary'!I14</f>
        <v>570.68962528464</v>
      </c>
      <c r="F7" s="23" t="n">
        <f aca="false">'P&amp;L Summary'!J14</f>
        <v>582.103417790333</v>
      </c>
    </row>
    <row r="9" customFormat="false" ht="21.75" hidden="false" customHeight="true" outlineLevel="0" collapsed="false">
      <c r="A9" s="6" t="s">
        <v>237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20" t="s">
        <v>238</v>
      </c>
      <c r="B10" s="23" t="n">
        <f aca="false">-B7*Assumptions!$B$7</f>
        <v>-161.332074</v>
      </c>
      <c r="C10" s="23" t="n">
        <f aca="false">-C7*Assumptions!$B$7</f>
        <v>-164.55871548</v>
      </c>
      <c r="D10" s="23" t="n">
        <f aca="false">-D7*Assumptions!$B$7</f>
        <v>-167.8498897896</v>
      </c>
      <c r="E10" s="23" t="n">
        <f aca="false">-E7*Assumptions!$B$7</f>
        <v>-171.206887585392</v>
      </c>
      <c r="F10" s="23" t="n">
        <f aca="false">-F7*Assumptions!$B$7</f>
        <v>-174.6310253371</v>
      </c>
    </row>
    <row r="11" customFormat="false" ht="15" hidden="false" customHeight="true" outlineLevel="0" collapsed="false">
      <c r="A11" s="3" t="s">
        <v>154</v>
      </c>
      <c r="B11" s="29" t="n">
        <f aca="false">B7+B10</f>
        <v>376.441506</v>
      </c>
      <c r="C11" s="29" t="n">
        <f aca="false">C7+C10</f>
        <v>383.97033612</v>
      </c>
      <c r="D11" s="29" t="n">
        <f aca="false">D7+D10</f>
        <v>391.6497428424</v>
      </c>
      <c r="E11" s="29" t="n">
        <f aca="false">E7+E10</f>
        <v>399.482737699248</v>
      </c>
      <c r="F11" s="29" t="n">
        <f aca="false">F7+F10</f>
        <v>407.472392453233</v>
      </c>
    </row>
    <row r="12" customFormat="false" ht="15" hidden="false" customHeight="true" outlineLevel="0" collapsed="false">
      <c r="A12" s="20" t="s">
        <v>239</v>
      </c>
      <c r="B12" s="23" t="n">
        <f aca="false">B5*Assumptions!$B$6</f>
        <v>290.796084</v>
      </c>
      <c r="C12" s="23" t="n">
        <f aca="false">C5*Assumptions!$B$6</f>
        <v>296.61200568</v>
      </c>
      <c r="D12" s="23" t="n">
        <f aca="false">D5*Assumptions!$B$6</f>
        <v>302.5442457936</v>
      </c>
      <c r="E12" s="23" t="n">
        <f aca="false">E5*Assumptions!$B$6</f>
        <v>308.595130709472</v>
      </c>
      <c r="F12" s="23" t="n">
        <f aca="false">F5*Assumptions!$B$6</f>
        <v>314.767033323662</v>
      </c>
    </row>
    <row r="13" customFormat="false" ht="15" hidden="false" customHeight="true" outlineLevel="0" collapsed="false">
      <c r="A13" s="20" t="s">
        <v>240</v>
      </c>
      <c r="B13" s="23" t="n">
        <f aca="false">-B5*Assumptions!$B$5</f>
        <v>-278.84556</v>
      </c>
      <c r="C13" s="23" t="n">
        <f aca="false">-C5*Assumptions!$B$5</f>
        <v>-284.4224712</v>
      </c>
      <c r="D13" s="23" t="n">
        <f aca="false">-D5*Assumptions!$B$5</f>
        <v>-290.110920624</v>
      </c>
      <c r="E13" s="23" t="n">
        <f aca="false">-E5*Assumptions!$B$5</f>
        <v>-295.91313903648</v>
      </c>
      <c r="F13" s="23" t="n">
        <f aca="false">-F5*Assumptions!$B$5</f>
        <v>-301.83140181721</v>
      </c>
    </row>
    <row r="14" customFormat="false" ht="15" hidden="false" customHeight="true" outlineLevel="0" collapsed="false">
      <c r="A14" s="20" t="s">
        <v>241</v>
      </c>
      <c r="B14" s="23" t="n">
        <f aca="false">-Assumptions!$B$8</f>
        <v>-0</v>
      </c>
      <c r="C14" s="23" t="n">
        <f aca="false">-Assumptions!$B$8</f>
        <v>-0</v>
      </c>
      <c r="D14" s="23" t="n">
        <f aca="false">-Assumptions!$B$8</f>
        <v>-0</v>
      </c>
      <c r="E14" s="23" t="n">
        <f aca="false">-Assumptions!$B$8</f>
        <v>-0</v>
      </c>
      <c r="F14" s="23" t="n">
        <f aca="false">-Assumptions!$B$8</f>
        <v>-0</v>
      </c>
    </row>
    <row r="15" customFormat="false" ht="15" hidden="false" customHeight="true" outlineLevel="0" collapsed="false">
      <c r="A15" s="3" t="s">
        <v>242</v>
      </c>
      <c r="B15" s="29" t="n">
        <f aca="false">SUM(B11:B14)</f>
        <v>388.39203</v>
      </c>
      <c r="C15" s="29" t="n">
        <f aca="false">SUM(C11:C14)</f>
        <v>396.1598706</v>
      </c>
      <c r="D15" s="29" t="n">
        <f aca="false">SUM(D11:D14)</f>
        <v>404.083068012</v>
      </c>
      <c r="E15" s="29" t="n">
        <f aca="false">SUM(E11:E14)</f>
        <v>412.16472937224</v>
      </c>
      <c r="F15" s="29" t="n">
        <f aca="false">SUM(F11:F14)</f>
        <v>420.408023959685</v>
      </c>
      <c r="H15" s="4" t="s">
        <v>243</v>
      </c>
    </row>
    <row r="17" customFormat="false" ht="21.75" hidden="false" customHeight="true" outlineLevel="0" collapsed="false">
      <c r="A17" s="6" t="s">
        <v>244</v>
      </c>
      <c r="B17" s="7"/>
      <c r="C17" s="7"/>
      <c r="D17" s="7"/>
      <c r="E17" s="7"/>
      <c r="F17" s="7"/>
      <c r="G17" s="7"/>
      <c r="H17" s="7"/>
    </row>
    <row r="18" customFormat="false" ht="15" hidden="false" customHeight="true" outlineLevel="0" collapsed="false">
      <c r="A18" s="20" t="s">
        <v>225</v>
      </c>
      <c r="B18" s="49" t="n">
        <f aca="false">'WACC Build'!$B$25</f>
        <v>0.0882049465861588</v>
      </c>
      <c r="C18" s="49" t="n">
        <f aca="false">'WACC Build'!$B$25</f>
        <v>0.0882049465861588</v>
      </c>
      <c r="D18" s="49" t="n">
        <f aca="false">'WACC Build'!$B$25</f>
        <v>0.0882049465861588</v>
      </c>
      <c r="E18" s="49" t="n">
        <f aca="false">'WACC Build'!$B$25</f>
        <v>0.0882049465861588</v>
      </c>
      <c r="F18" s="49" t="n">
        <f aca="false">'WACC Build'!$B$25</f>
        <v>0.0882049465861588</v>
      </c>
    </row>
    <row r="19" customFormat="false" ht="15" hidden="false" customHeight="true" outlineLevel="0" collapsed="false">
      <c r="A19" s="20" t="s">
        <v>245</v>
      </c>
      <c r="B19" s="50" t="n">
        <v>1</v>
      </c>
      <c r="C19" s="50" t="n">
        <v>2</v>
      </c>
      <c r="D19" s="50" t="n">
        <v>3</v>
      </c>
      <c r="E19" s="50" t="n">
        <v>4</v>
      </c>
      <c r="F19" s="50" t="n">
        <v>5</v>
      </c>
    </row>
    <row r="20" customFormat="false" ht="15" hidden="false" customHeight="true" outlineLevel="0" collapsed="false">
      <c r="A20" s="20" t="s">
        <v>246</v>
      </c>
      <c r="B20" s="51" t="n">
        <f aca="false">1/(1+B18)^B19</f>
        <v>0.918944545452702</v>
      </c>
      <c r="C20" s="51" t="n">
        <f aca="false">1/(1+C18)^C19</f>
        <v>0.844459077617274</v>
      </c>
      <c r="D20" s="51" t="n">
        <f aca="false">1/(1+D18)^D19</f>
        <v>0.776011063234414</v>
      </c>
      <c r="E20" s="51" t="n">
        <f aca="false">1/(1+E18)^E19</f>
        <v>0.713111133770217</v>
      </c>
      <c r="F20" s="51" t="n">
        <f aca="false">1/(1+F18)^F19</f>
        <v>0.655309586679734</v>
      </c>
    </row>
    <row r="21" customFormat="false" ht="15" hidden="false" customHeight="true" outlineLevel="0" collapsed="false">
      <c r="A21" s="3" t="s">
        <v>247</v>
      </c>
      <c r="B21" s="29" t="n">
        <f aca="false">B15*B20</f>
        <v>356.910737465802</v>
      </c>
      <c r="C21" s="29" t="n">
        <f aca="false">C15*C20</f>
        <v>334.540798915855</v>
      </c>
      <c r="D21" s="29" t="n">
        <f aca="false">D15*D20</f>
        <v>313.572931243016</v>
      </c>
      <c r="E21" s="29" t="n">
        <f aca="false">E15*E20</f>
        <v>293.919257462733</v>
      </c>
      <c r="F21" s="29" t="n">
        <f aca="false">F15*F20</f>
        <v>275.497408417865</v>
      </c>
    </row>
    <row r="23" customFormat="false" ht="21.75" hidden="false" customHeight="true" outlineLevel="0" collapsed="false">
      <c r="A23" s="6" t="s">
        <v>248</v>
      </c>
      <c r="B23" s="7"/>
      <c r="C23" s="7"/>
      <c r="D23" s="7"/>
      <c r="E23" s="7"/>
      <c r="F23" s="7"/>
      <c r="G23" s="7"/>
      <c r="H23" s="7"/>
    </row>
    <row r="24" customFormat="false" ht="26.25" hidden="false" customHeight="true" outlineLevel="0" collapsed="false">
      <c r="A24" s="20" t="s">
        <v>249</v>
      </c>
      <c r="G24" s="49" t="n">
        <f aca="false">Assumptions!$B$35+Assumptions!$B$34/10000</f>
        <v>0.025</v>
      </c>
      <c r="H24" s="4" t="s">
        <v>250</v>
      </c>
    </row>
    <row r="25" customFormat="false" ht="15" hidden="false" customHeight="true" outlineLevel="0" collapsed="false">
      <c r="A25" s="20" t="s">
        <v>251</v>
      </c>
      <c r="G25" s="24" t="n">
        <f aca="false">F15*(1+G24)</f>
        <v>430.918224558677</v>
      </c>
    </row>
    <row r="26" customFormat="false" ht="15" hidden="false" customHeight="true" outlineLevel="0" collapsed="false">
      <c r="A26" s="3" t="s">
        <v>252</v>
      </c>
      <c r="G26" s="29" t="n">
        <f aca="false">G25/(F18-G24)</f>
        <v>6817.79271771496</v>
      </c>
    </row>
    <row r="27" customFormat="false" ht="15" hidden="false" customHeight="true" outlineLevel="0" collapsed="false">
      <c r="A27" s="20" t="s">
        <v>253</v>
      </c>
      <c r="G27" s="51" t="n">
        <f aca="false">F20</f>
        <v>0.655309586679734</v>
      </c>
    </row>
    <row r="28" customFormat="false" ht="15" hidden="false" customHeight="true" outlineLevel="0" collapsed="false">
      <c r="A28" s="3" t="s">
        <v>254</v>
      </c>
      <c r="G28" s="29" t="n">
        <f aca="false">G26*G27</f>
        <v>4467.76492791389</v>
      </c>
    </row>
    <row r="30" customFormat="false" ht="21.75" hidden="false" customHeight="true" outlineLevel="0" collapsed="false">
      <c r="A30" s="6" t="s">
        <v>255</v>
      </c>
      <c r="B30" s="7"/>
      <c r="C30" s="7"/>
      <c r="D30" s="7"/>
      <c r="E30" s="7"/>
      <c r="F30" s="7"/>
      <c r="G30" s="7"/>
      <c r="H30" s="7"/>
    </row>
    <row r="31" customFormat="false" ht="15" hidden="false" customHeight="true" outlineLevel="0" collapsed="false">
      <c r="A31" s="20" t="s">
        <v>256</v>
      </c>
      <c r="G31" s="24" t="n">
        <f aca="false">SUM(B21:F21)</f>
        <v>1574.44113350527</v>
      </c>
    </row>
    <row r="32" customFormat="false" ht="15" hidden="false" customHeight="true" outlineLevel="0" collapsed="false">
      <c r="A32" s="20" t="s">
        <v>257</v>
      </c>
      <c r="G32" s="24" t="n">
        <f aca="false">G28</f>
        <v>4467.76492791389</v>
      </c>
    </row>
    <row r="33" customFormat="false" ht="15" hidden="false" customHeight="true" outlineLevel="0" collapsed="false">
      <c r="A33" s="3" t="s">
        <v>258</v>
      </c>
      <c r="G33" s="52" t="n">
        <f aca="false">G31+G32</f>
        <v>6042.20606141916</v>
      </c>
    </row>
    <row r="34" customFormat="false" ht="15" hidden="false" customHeight="true" outlineLevel="0" collapsed="false">
      <c r="A34" s="20" t="s">
        <v>259</v>
      </c>
      <c r="G34" s="23" t="n">
        <f aca="false">-Assumptions!$B$10</f>
        <v>-1300</v>
      </c>
    </row>
    <row r="35" customFormat="false" ht="15" hidden="false" customHeight="true" outlineLevel="0" collapsed="false">
      <c r="A35" s="3" t="s">
        <v>260</v>
      </c>
      <c r="G35" s="52" t="n">
        <f aca="false">G33+G34</f>
        <v>4742.20606141916</v>
      </c>
    </row>
    <row r="36" customFormat="false" ht="15" hidden="false" customHeight="true" outlineLevel="0" collapsed="false">
      <c r="A36" s="20" t="s">
        <v>72</v>
      </c>
      <c r="G36" s="23" t="n">
        <f aca="false">Assumptions!$B$11</f>
        <v>1875.91</v>
      </c>
    </row>
    <row r="37" customFormat="false" ht="17.25" hidden="false" customHeight="true" outlineLevel="0" collapsed="false">
      <c r="A37" s="53" t="s">
        <v>261</v>
      </c>
      <c r="G37" s="54" t="n">
        <f aca="false">G35/G36</f>
        <v>2.52794966785142</v>
      </c>
    </row>
    <row r="39" customFormat="false" ht="21.75" hidden="false" customHeight="true" outlineLevel="0" collapsed="false">
      <c r="A39" s="6" t="s">
        <v>262</v>
      </c>
      <c r="B39" s="7"/>
      <c r="C39" s="7"/>
      <c r="D39" s="7"/>
      <c r="E39" s="7"/>
      <c r="F39" s="7"/>
      <c r="G39" s="7"/>
      <c r="H39" s="7"/>
    </row>
    <row r="40" customFormat="false" ht="39" hidden="false" customHeight="true" outlineLevel="0" collapsed="false">
      <c r="A40" s="20" t="s">
        <v>263</v>
      </c>
      <c r="G40" s="26" t="n">
        <f aca="false">G32/G33</f>
        <v>0.73942611067861</v>
      </c>
      <c r="H40" s="4" t="s">
        <v>264</v>
      </c>
    </row>
    <row r="41" customFormat="false" ht="26.25" hidden="false" customHeight="true" outlineLevel="0" collapsed="false">
      <c r="A41" s="20" t="s">
        <v>265</v>
      </c>
      <c r="G41" s="55" t="n">
        <v>3.61</v>
      </c>
      <c r="H41" s="4" t="s">
        <v>266</v>
      </c>
    </row>
    <row r="42" customFormat="false" ht="51.75" hidden="false" customHeight="true" outlineLevel="0" collapsed="false">
      <c r="A42" s="20" t="s">
        <v>267</v>
      </c>
      <c r="G42" s="26" t="n">
        <f aca="false">G37/G41-1</f>
        <v>-0.29973693411318</v>
      </c>
      <c r="H42" s="4" t="s">
        <v>268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2026-05-25T03:45:22Z</dcterms:created>
  <dc:creator>openpyxl</dc:creator>
  <dc:description/>
  <dc:language>en-US</dc:language>
  <cp:lastModifiedBy/>
  <dcterms:modified xsi:type="dcterms:W3CDTF">2026-05-25T03:49:07Z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