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_Orderly" sheetId="3" state="visible" r:id="rId3"/>
    <sheet xmlns:r="http://schemas.openxmlformats.org/officeDocument/2006/relationships" name="S_Muddle" sheetId="4" state="visible" r:id="rId4"/>
    <sheet xmlns:r="http://schemas.openxmlformats.org/officeDocument/2006/relationships" name="S_AI" sheetId="5" state="visible" r:id="rId5"/>
    <sheet xmlns:r="http://schemas.openxmlformats.org/officeDocument/2006/relationships" name="S_Disorderly" sheetId="6" state="visible" r:id="rId6"/>
    <sheet xmlns:r="http://schemas.openxmlformats.org/officeDocument/2006/relationships" name="S_Fragmentation" sheetId="7" state="visible" r:id="rId7"/>
    <sheet xmlns:r="http://schemas.openxmlformats.org/officeDocument/2006/relationships" name="S_Stagflation" sheetId="8" state="visible" r:id="rId8"/>
    <sheet xmlns:r="http://schemas.openxmlformats.org/officeDocument/2006/relationships" name="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000"/>
    <numFmt numFmtId="166" formatCode="0.0%"/>
    <numFmt numFmtId="167" formatCode="0.0"/>
    <numFmt numFmtId="168" formatCode="0.000"/>
    <numFmt numFmtId="169" formatCode="0.00&quot;x&quot;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  <font>
      <color rgb="000066CC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5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4" fontId="0" fillId="0" borderId="1" pivotButton="0" quotePrefix="0" xfId="0"/>
    <xf numFmtId="166" fontId="0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166" fontId="0" fillId="3" borderId="1" pivotButton="0" quotePrefix="0" xfId="0"/>
    <xf numFmtId="0" fontId="2" fillId="0" borderId="0" pivotButton="0" quotePrefix="0" xfId="0"/>
    <xf numFmtId="4" fontId="0" fillId="0" borderId="0" pivotButton="0" quotePrefix="0" xfId="0"/>
    <xf numFmtId="16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164" fontId="4" fillId="3" borderId="0" pivotButton="0" quotePrefix="0" xfId="0"/>
    <xf numFmtId="10" fontId="4" fillId="3" borderId="0" pivotButton="0" quotePrefix="0" xfId="0"/>
    <xf numFmtId="2" fontId="4" fillId="3" borderId="0" pivotButton="0" quotePrefix="0" xfId="0"/>
    <xf numFmtId="165" fontId="4" fillId="3" borderId="0" pivotButton="0" quotePrefix="0" xfId="0"/>
    <xf numFmtId="4" fontId="4" fillId="3" borderId="0" pivotButton="0" quotePrefix="0" xfId="0"/>
    <xf numFmtId="10" fontId="0" fillId="0" borderId="0" pivotButton="0" quotePrefix="0" xfId="0"/>
    <xf numFmtId="166" fontId="4" fillId="3" borderId="0" pivotButton="0" quotePrefix="0" xfId="0"/>
    <xf numFmtId="164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CSL Limited — cross-scenario valuation (off v3 Muddle Through base)</t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>
      <c r="A2" s="2" t="inlineStr">
        <is>
          <t>Six-scenario distribution • USD functional, AUD at spot • 25 June 2026 • Reid Advisory</t>
        </is>
      </c>
    </row>
    <row r="4">
      <c r="A4" s="3" t="inlineStr">
        <is>
          <t>Scenario</t>
        </is>
      </c>
      <c r="B4" s="3" t="inlineStr">
        <is>
          <t>Per share USD</t>
        </is>
      </c>
      <c r="C4" s="3" t="inlineStr">
        <is>
          <t>Per share AUD</t>
        </is>
      </c>
      <c r="D4" s="3" t="inlineStr">
        <is>
          <t>vs Market</t>
        </is>
      </c>
      <c r="E4" s="3" t="inlineStr">
        <is>
          <t>vs Muddle Through</t>
        </is>
      </c>
      <c r="F4" s="3" t="inlineStr">
        <is>
          <t>Terminal % EV</t>
        </is>
      </c>
    </row>
    <row r="5">
      <c r="A5" s="4" t="inlineStr">
        <is>
          <t>Orderly Convergence</t>
        </is>
      </c>
      <c r="B5" s="5">
        <f>'S_Orderly'!C42</f>
        <v/>
      </c>
      <c r="C5" s="5">
        <f>'S_Orderly'!C43</f>
        <v/>
      </c>
      <c r="D5" s="6">
        <f>'S_Orderly'!C43/Inputs!$B$21-1</f>
        <v/>
      </c>
      <c r="E5" s="6">
        <f>'S_Orderly'!C42/'S_Muddle'!C42-1</f>
        <v/>
      </c>
      <c r="F5" s="6">
        <f>'S_Orderly'!C44</f>
        <v/>
      </c>
    </row>
    <row r="6">
      <c r="A6" s="7" t="inlineStr">
        <is>
          <t>Muddle Through</t>
        </is>
      </c>
      <c r="B6" s="8">
        <f>'S_Muddle'!C42</f>
        <v/>
      </c>
      <c r="C6" s="8">
        <f>'S_Muddle'!C43</f>
        <v/>
      </c>
      <c r="D6" s="9">
        <f>'S_Muddle'!C43/Inputs!$B$21-1</f>
        <v/>
      </c>
      <c r="E6" s="9">
        <f>'S_Muddle'!C42/'S_Muddle'!C42-1</f>
        <v/>
      </c>
      <c r="F6" s="9">
        <f>'S_Muddle'!C44</f>
        <v/>
      </c>
    </row>
    <row r="7">
      <c r="A7" s="4" t="inlineStr">
        <is>
          <t>AI Productivity Lag</t>
        </is>
      </c>
      <c r="B7" s="5">
        <f>'S_AI'!C42</f>
        <v/>
      </c>
      <c r="C7" s="5">
        <f>'S_AI'!C43</f>
        <v/>
      </c>
      <c r="D7" s="6">
        <f>'S_AI'!C43/Inputs!$B$21-1</f>
        <v/>
      </c>
      <c r="E7" s="6">
        <f>'S_AI'!C42/'S_Muddle'!C42-1</f>
        <v/>
      </c>
      <c r="F7" s="6">
        <f>'S_AI'!C44</f>
        <v/>
      </c>
    </row>
    <row r="8">
      <c r="A8" s="4" t="inlineStr">
        <is>
          <t>Disorderly Climate</t>
        </is>
      </c>
      <c r="B8" s="5">
        <f>'S_Disorderly'!C42</f>
        <v/>
      </c>
      <c r="C8" s="5">
        <f>'S_Disorderly'!C43</f>
        <v/>
      </c>
      <c r="D8" s="6">
        <f>'S_Disorderly'!C43/Inputs!$B$21-1</f>
        <v/>
      </c>
      <c r="E8" s="6">
        <f>'S_Disorderly'!C42/'S_Muddle'!C42-1</f>
        <v/>
      </c>
      <c r="F8" s="6">
        <f>'S_Disorderly'!C44</f>
        <v/>
      </c>
    </row>
    <row r="9">
      <c r="A9" s="4" t="inlineStr">
        <is>
          <t>Fragmentation</t>
        </is>
      </c>
      <c r="B9" s="5">
        <f>'S_Fragmentation'!C42</f>
        <v/>
      </c>
      <c r="C9" s="5">
        <f>'S_Fragmentation'!C43</f>
        <v/>
      </c>
      <c r="D9" s="6">
        <f>'S_Fragmentation'!C43/Inputs!$B$21-1</f>
        <v/>
      </c>
      <c r="E9" s="6">
        <f>'S_Fragmentation'!C42/'S_Muddle'!C42-1</f>
        <v/>
      </c>
      <c r="F9" s="6">
        <f>'S_Fragmentation'!C44</f>
        <v/>
      </c>
    </row>
    <row r="10">
      <c r="A10" s="4" t="inlineStr">
        <is>
          <t>Stagflation Persists</t>
        </is>
      </c>
      <c r="B10" s="5">
        <f>'S_Stagflation'!C42</f>
        <v/>
      </c>
      <c r="C10" s="5">
        <f>'S_Stagflation'!C43</f>
        <v/>
      </c>
      <c r="D10" s="6">
        <f>'S_Stagflation'!C43/Inputs!$B$21-1</f>
        <v/>
      </c>
      <c r="E10" s="6">
        <f>'S_Stagflation'!C42/'S_Muddle'!C42-1</f>
        <v/>
      </c>
      <c r="F10" s="6">
        <f>'S_Stagflation'!C44</f>
        <v/>
      </c>
    </row>
    <row r="12">
      <c r="A12" s="10" t="inlineStr">
        <is>
          <t>Upside (Orderly − MT), USD</t>
        </is>
      </c>
      <c r="B12" s="11">
        <f>'S_Orderly'!C42-'S_Muddle'!C42</f>
        <v/>
      </c>
    </row>
    <row r="13">
      <c r="A13" s="10" t="inlineStr">
        <is>
          <t>Downside (MT − Stagflation), USD</t>
        </is>
      </c>
      <c r="B13" s="11">
        <f>'S_Muddle'!C42-'S_Stagflation'!C42</f>
        <v/>
      </c>
    </row>
    <row r="14">
      <c r="A14" s="10" t="inlineStr">
        <is>
          <t>Asymmetry ratio (down/up)</t>
        </is>
      </c>
      <c r="B14" s="12">
        <f>B13/B12</f>
        <v/>
      </c>
    </row>
    <row r="16" ht="46" customHeight="1">
      <c r="A16" s="13" t="inlineStr">
        <is>
          <t>Observation 1 — Defensive shape. Asymmetry ~1.3x: downside modestly exceeds upside, far below DNL's cyclical 4.05x and below WBC's 1.83x. Plasma demand is volume-inelastic, so scenarios transmit through margins (donor-collection wages, energy/carbon cost, payor pricing) and policy, not volumes.</t>
        </is>
      </c>
    </row>
    <row r="17" ht="46" customHeight="1">
      <c r="A17" s="13" t="inlineStr">
        <is>
          <t>Observation 2 — Whole distribution sits above market. Even the Stagflation boundary (~AUD 170) is well above market (AUD 105.53). Per methodology §16 the market is implicitly pricing a state more bearish than the framework's downside boundary — a genuine through-cycle disagreement, not a calibration error (see v3 reforecast notes).</t>
        </is>
      </c>
    </row>
    <row r="18" ht="46" customHeight="1">
      <c r="A18" s="13" t="inlineStr">
        <is>
          <t>Observation 3 — Terminal-heavy. Terminal value is ~75–78% of EV across scenarios (a long-duration compounder at 30% terminal margin, 3% g, 8.75% Re). Sensitivity concentrates in terminal margin and g; the &gt;70% terminal-share validator fires structurally (cf. DNL Phase 3.5).</t>
        </is>
      </c>
    </row>
    <row r="19" ht="46" customHeight="1">
      <c r="A19" s="13" t="inlineStr">
        <is>
          <t>Single discount rate 8.75% (Rf 4.5% + β0.85 × ERP 5.0%) held across all scenarios per the single-WACC discipline; scenario risk is priced in the cash-flow paths, not the rate.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CSL scenarios — shared base + per-scenario drivers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10" t="inlineStr">
        <is>
          <t>Shared base (identical across scenarios)</t>
        </is>
      </c>
    </row>
    <row r="3">
      <c r="A3" s="14" t="inlineStr">
        <is>
          <t>Behring revenue FY25 (USD m)</t>
        </is>
      </c>
      <c r="B3" s="15" t="n">
        <v>11158</v>
      </c>
    </row>
    <row r="4">
      <c r="A4" s="14" t="inlineStr">
        <is>
          <t>Seqirus revenue FY25 (USD m)</t>
        </is>
      </c>
      <c r="B4" s="15" t="n">
        <v>2166</v>
      </c>
    </row>
    <row r="5">
      <c r="A5" s="14" t="inlineStr">
        <is>
          <t>Vifor revenue FY25 (USD m)</t>
        </is>
      </c>
      <c r="B5" s="15" t="n">
        <v>2234</v>
      </c>
    </row>
    <row r="6">
      <c r="A6" s="14" t="inlineStr">
        <is>
          <t>Group revenue FY25 (USD m)</t>
        </is>
      </c>
      <c r="B6" s="15" t="n">
        <v>15558</v>
      </c>
    </row>
    <row r="7">
      <c r="A7" s="14" t="inlineStr">
        <is>
          <t>Behring OR margin FY25</t>
        </is>
      </c>
      <c r="B7" s="16" t="n">
        <v>0.422</v>
      </c>
    </row>
    <row r="8">
      <c r="A8" s="14" t="inlineStr">
        <is>
          <t>Seqirus OR margin FY25</t>
        </is>
      </c>
      <c r="B8" s="16" t="n">
        <v>0.474</v>
      </c>
    </row>
    <row r="9">
      <c r="A9" s="14" t="inlineStr">
        <is>
          <t>Vifor OR margin FY25</t>
        </is>
      </c>
      <c r="B9" s="16" t="n">
        <v>0.491</v>
      </c>
    </row>
    <row r="10">
      <c r="A10" s="14" t="inlineStr">
        <is>
          <t>Corporate/unalloc FY25 (USD m)</t>
        </is>
      </c>
      <c r="B10" s="15" t="n">
        <v>-2559</v>
      </c>
    </row>
    <row r="11">
      <c r="A11" s="14" t="inlineStr">
        <is>
          <t>Capex / revenue</t>
        </is>
      </c>
      <c r="B11" s="16" t="n">
        <v>0.045</v>
      </c>
    </row>
    <row r="12">
      <c r="A12" s="14" t="inlineStr">
        <is>
          <t>D&amp;A / revenue</t>
        </is>
      </c>
      <c r="B12" s="16" t="n">
        <v>0.06</v>
      </c>
    </row>
    <row r="13">
      <c r="A13" s="14" t="inlineStr">
        <is>
          <t>Working-capital change / Δrevenue</t>
        </is>
      </c>
      <c r="B13" s="16" t="n">
        <v>0.1</v>
      </c>
    </row>
    <row r="14">
      <c r="A14" s="14" t="inlineStr">
        <is>
          <t>Risk-free rate (10y UST)</t>
        </is>
      </c>
      <c r="B14" s="16" t="n">
        <v>0.045</v>
      </c>
    </row>
    <row r="15">
      <c r="A15" s="14" t="inlineStr">
        <is>
          <t>Equity risk premium</t>
        </is>
      </c>
      <c r="B15" s="16" t="n">
        <v>0.05</v>
      </c>
    </row>
    <row r="16">
      <c r="A16" s="14" t="inlineStr">
        <is>
          <t>Beta (peer-triangulated)</t>
        </is>
      </c>
      <c r="B16" s="17" t="n">
        <v>0.85</v>
      </c>
    </row>
    <row r="17">
      <c r="A17" s="14" t="inlineStr">
        <is>
          <t>Net debt at anchor (USD m)</t>
        </is>
      </c>
      <c r="B17" s="15" t="n">
        <v>9100</v>
      </c>
    </row>
    <row r="18">
      <c r="A18" s="14" t="inlineStr">
        <is>
          <t>Restructuring cash to come (USD m)</t>
        </is>
      </c>
      <c r="B18" s="15" t="n">
        <v>507</v>
      </c>
    </row>
    <row r="19">
      <c r="A19" s="14" t="inlineStr">
        <is>
          <t>Shares outstanding (m)</t>
        </is>
      </c>
      <c r="B19" s="15" t="n">
        <v>478.9</v>
      </c>
    </row>
    <row r="20">
      <c r="A20" s="14" t="inlineStr">
        <is>
          <t>Spot FX (AUD per USD)</t>
        </is>
      </c>
      <c r="B20" s="18" t="n">
        <v>1.5152</v>
      </c>
    </row>
    <row r="21">
      <c r="A21" s="14" t="inlineStr">
        <is>
          <t>Market price (AUD)</t>
        </is>
      </c>
      <c r="B21" s="19" t="n">
        <v>105.53</v>
      </c>
    </row>
    <row r="22">
      <c r="A22" s="14" t="inlineStr">
        <is>
          <t>Cost of equity Re = Rf + beta x ERP (derived)</t>
        </is>
      </c>
      <c r="B22" s="20">
        <f>B14+B16*B15</f>
        <v/>
      </c>
    </row>
    <row r="24">
      <c r="A24" s="1" t="inlineStr">
        <is>
          <t>Driver</t>
        </is>
      </c>
      <c r="C24" s="1" t="inlineStr">
        <is>
          <t>Orderly Convergence</t>
        </is>
      </c>
      <c r="D24" s="1" t="inlineStr">
        <is>
          <t>Muddle Through</t>
        </is>
      </c>
      <c r="E24" s="1" t="inlineStr">
        <is>
          <t>AI Productivity Lag</t>
        </is>
      </c>
      <c r="F24" s="1" t="inlineStr">
        <is>
          <t>Disorderly Climate</t>
        </is>
      </c>
      <c r="G24" s="1" t="inlineStr">
        <is>
          <t>Fragmentation</t>
        </is>
      </c>
      <c r="H24" s="1" t="inlineStr">
        <is>
          <t>Stagflation Persists</t>
        </is>
      </c>
    </row>
    <row r="25">
      <c r="A25" s="14" t="inlineStr">
        <is>
          <t>Behring growth FY26</t>
        </is>
      </c>
      <c r="C25" s="21" t="n">
        <v>-0.005</v>
      </c>
      <c r="D25" s="21" t="n">
        <v>-0.01</v>
      </c>
      <c r="E25" s="21" t="n">
        <v>-0.01</v>
      </c>
      <c r="F25" s="21" t="n">
        <v>-0.01</v>
      </c>
      <c r="G25" s="21" t="n">
        <v>-0.015</v>
      </c>
      <c r="H25" s="21" t="n">
        <v>-0.015</v>
      </c>
    </row>
    <row r="26">
      <c r="A26" s="14" t="inlineStr">
        <is>
          <t>Behring growth FY27</t>
        </is>
      </c>
      <c r="C26" s="21" t="n">
        <v>0.04</v>
      </c>
      <c r="D26" s="21" t="n">
        <v>0.025</v>
      </c>
      <c r="E26" s="21" t="n">
        <v>0.025</v>
      </c>
      <c r="F26" s="21" t="n">
        <v>0.02</v>
      </c>
      <c r="G26" s="21" t="n">
        <v>0.015</v>
      </c>
      <c r="H26" s="21" t="n">
        <v>0.01</v>
      </c>
    </row>
    <row r="27">
      <c r="A27" s="14" t="inlineStr">
        <is>
          <t>Behring growth FY28</t>
        </is>
      </c>
      <c r="C27" s="21" t="n">
        <v>0.055</v>
      </c>
      <c r="D27" s="21" t="n">
        <v>0.045</v>
      </c>
      <c r="E27" s="21" t="n">
        <v>0.045</v>
      </c>
      <c r="F27" s="21" t="n">
        <v>0.035</v>
      </c>
      <c r="G27" s="21" t="n">
        <v>0.03</v>
      </c>
      <c r="H27" s="21" t="n">
        <v>0.025</v>
      </c>
    </row>
    <row r="28">
      <c r="A28" s="14" t="inlineStr">
        <is>
          <t>Behring growth FY29</t>
        </is>
      </c>
      <c r="C28" s="21" t="n">
        <v>0.065</v>
      </c>
      <c r="D28" s="21" t="n">
        <v>0.055</v>
      </c>
      <c r="E28" s="21" t="n">
        <v>0.05</v>
      </c>
      <c r="F28" s="21" t="n">
        <v>0.045</v>
      </c>
      <c r="G28" s="21" t="n">
        <v>0.04</v>
      </c>
      <c r="H28" s="21" t="n">
        <v>0.035</v>
      </c>
    </row>
    <row r="29">
      <c r="A29" s="14" t="inlineStr">
        <is>
          <t>Behring growth FY30</t>
        </is>
      </c>
      <c r="C29" s="21" t="n">
        <v>0.065</v>
      </c>
      <c r="D29" s="21" t="n">
        <v>0.055</v>
      </c>
      <c r="E29" s="21" t="n">
        <v>0.05</v>
      </c>
      <c r="F29" s="21" t="n">
        <v>0.045</v>
      </c>
      <c r="G29" s="21" t="n">
        <v>0.04</v>
      </c>
      <c r="H29" s="21" t="n">
        <v>0.035</v>
      </c>
    </row>
    <row r="30">
      <c r="A30" s="14" t="inlineStr">
        <is>
          <t>Behring growth FY31</t>
        </is>
      </c>
      <c r="C30" s="21" t="n">
        <v>0.065</v>
      </c>
      <c r="D30" s="21" t="n">
        <v>0.055</v>
      </c>
      <c r="E30" s="21" t="n">
        <v>0.05</v>
      </c>
      <c r="F30" s="21" t="n">
        <v>0.045</v>
      </c>
      <c r="G30" s="21" t="n">
        <v>0.04</v>
      </c>
      <c r="H30" s="21" t="n">
        <v>0.035</v>
      </c>
    </row>
    <row r="31">
      <c r="A31" s="14" t="inlineStr">
        <is>
          <t>Seqirus revenue CAGR</t>
        </is>
      </c>
      <c r="C31" s="21" t="n">
        <v>0.025</v>
      </c>
      <c r="D31" s="21" t="n">
        <v>0.02</v>
      </c>
      <c r="E31" s="21" t="n">
        <v>0.02</v>
      </c>
      <c r="F31" s="21" t="n">
        <v>0.03</v>
      </c>
      <c r="G31" s="21" t="n">
        <v>0.015</v>
      </c>
      <c r="H31" s="21" t="n">
        <v>0.01</v>
      </c>
    </row>
    <row r="32">
      <c r="A32" s="14" t="inlineStr">
        <is>
          <t>Vifor revenue CAGR</t>
        </is>
      </c>
      <c r="C32" s="21" t="n">
        <v>0.08500000000000001</v>
      </c>
      <c r="D32" s="21" t="n">
        <v>0.07000000000000001</v>
      </c>
      <c r="E32" s="21" t="n">
        <v>0.065</v>
      </c>
      <c r="F32" s="21" t="n">
        <v>0.05</v>
      </c>
      <c r="G32" s="21" t="n">
        <v>0.055</v>
      </c>
      <c r="H32" s="21" t="n">
        <v>0.04</v>
      </c>
    </row>
    <row r="33">
      <c r="A33" s="14" t="inlineStr">
        <is>
          <t>Behring margin uplift (cum, FY31)</t>
        </is>
      </c>
      <c r="C33" s="16" t="n">
        <v>0.025</v>
      </c>
      <c r="D33" s="16" t="n">
        <v>0.015</v>
      </c>
      <c r="E33" s="16" t="n">
        <v>0.0175</v>
      </c>
      <c r="F33" s="16" t="n">
        <v>-0.005</v>
      </c>
      <c r="G33" s="16" t="n">
        <v>0</v>
      </c>
      <c r="H33" s="16" t="n">
        <v>-0.015</v>
      </c>
    </row>
    <row r="34">
      <c r="A34" s="14" t="inlineStr">
        <is>
          <t>Seqirus margin uplift (cum, FY31)</t>
        </is>
      </c>
      <c r="C34" s="16" t="n">
        <v>0.015</v>
      </c>
      <c r="D34" s="16" t="n">
        <v>0.01</v>
      </c>
      <c r="E34" s="16" t="n">
        <v>0.01</v>
      </c>
      <c r="F34" s="16" t="n">
        <v>0.005</v>
      </c>
      <c r="G34" s="16" t="n">
        <v>0</v>
      </c>
      <c r="H34" s="16" t="n">
        <v>-0.005</v>
      </c>
    </row>
    <row r="35">
      <c r="A35" s="14" t="inlineStr">
        <is>
          <t>Vifor margin uplift (cum, FY31)</t>
        </is>
      </c>
      <c r="C35" s="16" t="n">
        <v>0.015</v>
      </c>
      <c r="D35" s="16" t="n">
        <v>0.01</v>
      </c>
      <c r="E35" s="16" t="n">
        <v>0.01</v>
      </c>
      <c r="F35" s="16" t="n">
        <v>0</v>
      </c>
      <c r="G35" s="16" t="n">
        <v>0</v>
      </c>
      <c r="H35" s="16" t="n">
        <v>-0.005</v>
      </c>
    </row>
    <row r="36">
      <c r="A36" s="14" t="inlineStr">
        <is>
          <t>Terminal EBIT margin</t>
        </is>
      </c>
      <c r="C36" s="16" t="n">
        <v>0.315</v>
      </c>
      <c r="D36" s="16" t="n">
        <v>0.3</v>
      </c>
      <c r="E36" s="16" t="n">
        <v>0.3025</v>
      </c>
      <c r="F36" s="16" t="n">
        <v>0.28</v>
      </c>
      <c r="G36" s="16" t="n">
        <v>0.282</v>
      </c>
      <c r="H36" s="16" t="n">
        <v>0.265</v>
      </c>
    </row>
    <row r="37">
      <c r="A37" s="14" t="inlineStr">
        <is>
          <t>Terminal growth g</t>
        </is>
      </c>
      <c r="C37" s="16" t="n">
        <v>0.0325</v>
      </c>
      <c r="D37" s="16" t="n">
        <v>0.03</v>
      </c>
      <c r="E37" s="16" t="n">
        <v>0.02875</v>
      </c>
      <c r="F37" s="16" t="n">
        <v>0.0275</v>
      </c>
      <c r="G37" s="16" t="n">
        <v>0.0275</v>
      </c>
      <c r="H37" s="16" t="n">
        <v>0.03</v>
      </c>
    </row>
    <row r="38">
      <c r="A38" s="14" t="inlineStr">
        <is>
          <t>Effective tax rate</t>
        </is>
      </c>
      <c r="C38" s="16" t="n">
        <v>0.19</v>
      </c>
      <c r="D38" s="16" t="n">
        <v>0.19</v>
      </c>
      <c r="E38" s="16" t="n">
        <v>0.19</v>
      </c>
      <c r="F38" s="16" t="n">
        <v>0.19</v>
      </c>
      <c r="G38" s="16" t="n">
        <v>0.2</v>
      </c>
      <c r="H38" s="16" t="n">
        <v>0.19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Orderly Convergence — segment DCF (USD m)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3">
      <c r="A3" s="14" t="inlineStr">
        <is>
          <t>Line</t>
        </is>
      </c>
      <c r="B3" s="10" t="inlineStr">
        <is>
          <t>FY25</t>
        </is>
      </c>
      <c r="C3" s="10" t="inlineStr">
        <is>
          <t>FY26</t>
        </is>
      </c>
      <c r="D3" s="10" t="inlineStr">
        <is>
          <t>FY27</t>
        </is>
      </c>
      <c r="E3" s="10" t="inlineStr">
        <is>
          <t>FY28</t>
        </is>
      </c>
      <c r="F3" s="10" t="inlineStr">
        <is>
          <t>FY29</t>
        </is>
      </c>
      <c r="G3" s="10" t="inlineStr">
        <is>
          <t>FY30</t>
        </is>
      </c>
      <c r="H3" s="10" t="inlineStr">
        <is>
          <t>FY31</t>
        </is>
      </c>
    </row>
    <row r="5">
      <c r="A5" s="14" t="inlineStr">
        <is>
          <t>Behring revenue</t>
        </is>
      </c>
      <c r="B5" s="22">
        <f>Inputs!$B$3</f>
        <v/>
      </c>
      <c r="C5" s="22">
        <f>B5*(1+Inputs!$C$25)</f>
        <v/>
      </c>
      <c r="D5" s="22">
        <f>C5*(1+Inputs!$C$26)</f>
        <v/>
      </c>
      <c r="E5" s="22">
        <f>D5*(1+Inputs!$C$27)</f>
        <v/>
      </c>
      <c r="F5" s="22">
        <f>E5*(1+Inputs!$C$28)</f>
        <v/>
      </c>
      <c r="G5" s="22">
        <f>F5*(1+Inputs!$C$29)</f>
        <v/>
      </c>
      <c r="H5" s="22">
        <f>G5*(1+Inputs!$C$30)</f>
        <v/>
      </c>
    </row>
    <row r="6">
      <c r="A6" s="14" t="inlineStr">
        <is>
          <t>Behring OR margin</t>
        </is>
      </c>
      <c r="B6" s="20">
        <f>Inputs!$B$7</f>
        <v/>
      </c>
      <c r="C6" s="20">
        <f>Inputs!$B$7+Inputs!$C$33*(1/6)</f>
        <v/>
      </c>
      <c r="D6" s="20">
        <f>Inputs!$B$7+Inputs!$C$33*(2/6)</f>
        <v/>
      </c>
      <c r="E6" s="20">
        <f>Inputs!$B$7+Inputs!$C$33*(3/6)</f>
        <v/>
      </c>
      <c r="F6" s="20">
        <f>Inputs!$B$7+Inputs!$C$33*(4/6)</f>
        <v/>
      </c>
      <c r="G6" s="20">
        <f>Inputs!$B$7+Inputs!$C$33*(5/6)</f>
        <v/>
      </c>
      <c r="H6" s="20">
        <f>Inputs!$B$7+Inputs!$C$33*(6/6)</f>
        <v/>
      </c>
    </row>
    <row r="7">
      <c r="A7" s="14" t="inlineStr">
        <is>
          <t>Behring OR</t>
        </is>
      </c>
      <c r="B7" s="22">
        <f>B5*B6</f>
        <v/>
      </c>
      <c r="C7" s="22">
        <f>C5*C6</f>
        <v/>
      </c>
      <c r="D7" s="22">
        <f>D5*D6</f>
        <v/>
      </c>
      <c r="E7" s="22">
        <f>E5*E6</f>
        <v/>
      </c>
      <c r="F7" s="22">
        <f>F5*F6</f>
        <v/>
      </c>
      <c r="G7" s="22">
        <f>G5*G6</f>
        <v/>
      </c>
      <c r="H7" s="22">
        <f>H5*H6</f>
        <v/>
      </c>
    </row>
    <row r="9">
      <c r="A9" s="14" t="inlineStr">
        <is>
          <t>Seqirus revenue</t>
        </is>
      </c>
      <c r="B9" s="22">
        <f>Inputs!$B$4</f>
        <v/>
      </c>
      <c r="C9" s="22">
        <f>B9*(1+Inputs!$C$31)</f>
        <v/>
      </c>
      <c r="D9" s="22">
        <f>C9*(1+Inputs!$C$31)</f>
        <v/>
      </c>
      <c r="E9" s="22">
        <f>D9*(1+Inputs!$C$31)</f>
        <v/>
      </c>
      <c r="F9" s="22">
        <f>E9*(1+Inputs!$C$31)</f>
        <v/>
      </c>
      <c r="G9" s="22">
        <f>F9*(1+Inputs!$C$31)</f>
        <v/>
      </c>
      <c r="H9" s="22">
        <f>G9*(1+Inputs!$C$31)</f>
        <v/>
      </c>
    </row>
    <row r="10">
      <c r="A10" s="14" t="inlineStr">
        <is>
          <t>Seqirus OR margin</t>
        </is>
      </c>
      <c r="B10" s="20">
        <f>Inputs!$B$8</f>
        <v/>
      </c>
      <c r="C10" s="20">
        <f>Inputs!$B$8+Inputs!$C$34*(1/6)</f>
        <v/>
      </c>
      <c r="D10" s="20">
        <f>Inputs!$B$8+Inputs!$C$34*(2/6)</f>
        <v/>
      </c>
      <c r="E10" s="20">
        <f>Inputs!$B$8+Inputs!$C$34*(3/6)</f>
        <v/>
      </c>
      <c r="F10" s="20">
        <f>Inputs!$B$8+Inputs!$C$34*(4/6)</f>
        <v/>
      </c>
      <c r="G10" s="20">
        <f>Inputs!$B$8+Inputs!$C$34*(5/6)</f>
        <v/>
      </c>
      <c r="H10" s="20">
        <f>Inputs!$B$8+Inputs!$C$34*(6/6)</f>
        <v/>
      </c>
    </row>
    <row r="11">
      <c r="A11" s="14" t="inlineStr">
        <is>
          <t>Seqirus OR</t>
        </is>
      </c>
      <c r="B11" s="22">
        <f>B9*B10</f>
        <v/>
      </c>
      <c r="C11" s="22">
        <f>C9*C10</f>
        <v/>
      </c>
      <c r="D11" s="22">
        <f>D9*D10</f>
        <v/>
      </c>
      <c r="E11" s="22">
        <f>E9*E10</f>
        <v/>
      </c>
      <c r="F11" s="22">
        <f>F9*F10</f>
        <v/>
      </c>
      <c r="G11" s="22">
        <f>G9*G10</f>
        <v/>
      </c>
      <c r="H11" s="22">
        <f>H9*H10</f>
        <v/>
      </c>
    </row>
    <row r="13">
      <c r="A13" s="14" t="inlineStr">
        <is>
          <t>Vifor revenue</t>
        </is>
      </c>
      <c r="B13" s="22">
        <f>Inputs!$B$5</f>
        <v/>
      </c>
      <c r="C13" s="22">
        <f>B13*(1+Inputs!$C$32)</f>
        <v/>
      </c>
      <c r="D13" s="22">
        <f>C13*(1+Inputs!$C$32)</f>
        <v/>
      </c>
      <c r="E13" s="22">
        <f>D13*(1+Inputs!$C$32)</f>
        <v/>
      </c>
      <c r="F13" s="22">
        <f>E13*(1+Inputs!$C$32)</f>
        <v/>
      </c>
      <c r="G13" s="22">
        <f>F13*(1+Inputs!$C$32)</f>
        <v/>
      </c>
      <c r="H13" s="22">
        <f>G13*(1+Inputs!$C$32)</f>
        <v/>
      </c>
    </row>
    <row r="14">
      <c r="A14" s="14" t="inlineStr">
        <is>
          <t>Vifor OR margin</t>
        </is>
      </c>
      <c r="B14" s="20">
        <f>Inputs!$B$9</f>
        <v/>
      </c>
      <c r="C14" s="20">
        <f>Inputs!$B$9+Inputs!$C$35*(1/6)</f>
        <v/>
      </c>
      <c r="D14" s="20">
        <f>Inputs!$B$9+Inputs!$C$35*(2/6)</f>
        <v/>
      </c>
      <c r="E14" s="20">
        <f>Inputs!$B$9+Inputs!$C$35*(3/6)</f>
        <v/>
      </c>
      <c r="F14" s="20">
        <f>Inputs!$B$9+Inputs!$C$35*(4/6)</f>
        <v/>
      </c>
      <c r="G14" s="20">
        <f>Inputs!$B$9+Inputs!$C$35*(5/6)</f>
        <v/>
      </c>
      <c r="H14" s="20">
        <f>Inputs!$B$9+Inputs!$C$35*(6/6)</f>
        <v/>
      </c>
    </row>
    <row r="15">
      <c r="A15" s="14" t="inlineStr">
        <is>
          <t>Vifor OR</t>
        </is>
      </c>
      <c r="B15" s="22">
        <f>B13*B14</f>
        <v/>
      </c>
      <c r="C15" s="22">
        <f>C13*C14</f>
        <v/>
      </c>
      <c r="D15" s="22">
        <f>D13*D14</f>
        <v/>
      </c>
      <c r="E15" s="22">
        <f>E13*E14</f>
        <v/>
      </c>
      <c r="F15" s="22">
        <f>F13*F14</f>
        <v/>
      </c>
      <c r="G15" s="22">
        <f>G13*G14</f>
        <v/>
      </c>
      <c r="H15" s="22">
        <f>H13*H14</f>
        <v/>
      </c>
    </row>
    <row r="17">
      <c r="A17" s="10" t="inlineStr">
        <is>
          <t>Group revenue</t>
        </is>
      </c>
      <c r="B17" s="22">
        <f>B5+B9+B13</f>
        <v/>
      </c>
      <c r="C17" s="22">
        <f>C5+C9+C13</f>
        <v/>
      </c>
      <c r="D17" s="22">
        <f>D5+D9+D13</f>
        <v/>
      </c>
      <c r="E17" s="22">
        <f>E5+E9+E13</f>
        <v/>
      </c>
      <c r="F17" s="22">
        <f>F5+F9+F13</f>
        <v/>
      </c>
      <c r="G17" s="22">
        <f>G5+G9+G13</f>
        <v/>
      </c>
      <c r="H17" s="22">
        <f>H5+H9+H13</f>
        <v/>
      </c>
    </row>
    <row r="18">
      <c r="A18" s="14" t="inlineStr">
        <is>
          <t>Segment OR (sum)</t>
        </is>
      </c>
      <c r="B18" s="22">
        <f>B7+B11+B15</f>
        <v/>
      </c>
      <c r="C18" s="22">
        <f>C7+C11+C15</f>
        <v/>
      </c>
      <c r="D18" s="22">
        <f>D7+D11+D15</f>
        <v/>
      </c>
      <c r="E18" s="22">
        <f>E7+E11+E15</f>
        <v/>
      </c>
      <c r="F18" s="22">
        <f>F7+F11+F15</f>
        <v/>
      </c>
      <c r="G18" s="22">
        <f>G7+G11+G15</f>
        <v/>
      </c>
      <c r="H18" s="22">
        <f>H7+H11+H15</f>
        <v/>
      </c>
    </row>
    <row r="19">
      <c r="A19" s="14" t="inlineStr">
        <is>
          <t>Corporate / unalloc</t>
        </is>
      </c>
      <c r="B19" s="22">
        <f>Inputs!$B$10</f>
        <v/>
      </c>
      <c r="C19" s="22">
        <f>Inputs!$B$10*(1.005^1)</f>
        <v/>
      </c>
      <c r="D19" s="22">
        <f>Inputs!$B$10*(1.005^2)</f>
        <v/>
      </c>
      <c r="E19" s="22">
        <f>Inputs!$B$10*(1.005^3)</f>
        <v/>
      </c>
      <c r="F19" s="22">
        <f>Inputs!$B$10*(1.005^4)</f>
        <v/>
      </c>
      <c r="G19" s="22">
        <f>Inputs!$B$10*(1.005^5)</f>
        <v/>
      </c>
      <c r="H19" s="22">
        <f>Inputs!$B$10*(1.005^6)</f>
        <v/>
      </c>
    </row>
    <row r="20">
      <c r="A20" s="10" t="inlineStr">
        <is>
          <t>Group EBIT</t>
        </is>
      </c>
      <c r="B20" s="22">
        <f>B18+B19</f>
        <v/>
      </c>
      <c r="C20" s="22">
        <f>C18+C19</f>
        <v/>
      </c>
      <c r="D20" s="22">
        <f>D18+D19</f>
        <v/>
      </c>
      <c r="E20" s="22">
        <f>E18+E19</f>
        <v/>
      </c>
      <c r="F20" s="22">
        <f>F18+F19</f>
        <v/>
      </c>
      <c r="G20" s="22">
        <f>G18+G19</f>
        <v/>
      </c>
      <c r="H20" s="22">
        <f>H18+H19</f>
        <v/>
      </c>
    </row>
    <row r="21">
      <c r="A21" s="14" t="inlineStr">
        <is>
          <t>Group EBIT margin (memo)</t>
        </is>
      </c>
      <c r="B21" s="20">
        <f>B20/B17</f>
        <v/>
      </c>
      <c r="C21" s="20">
        <f>C20/C17</f>
        <v/>
      </c>
      <c r="D21" s="20">
        <f>D20/D17</f>
        <v/>
      </c>
      <c r="E21" s="20">
        <f>E20/E17</f>
        <v/>
      </c>
      <c r="F21" s="20">
        <f>F20/F17</f>
        <v/>
      </c>
      <c r="G21" s="20">
        <f>G20/G17</f>
        <v/>
      </c>
      <c r="H21" s="20">
        <f>H20/H17</f>
        <v/>
      </c>
    </row>
    <row r="23">
      <c r="A23" s="14" t="inlineStr">
        <is>
          <t>NOPAT = EBIT x (1-tax)</t>
        </is>
      </c>
      <c r="C23" s="22">
        <f>C20*(1-Inputs!$C$38)</f>
        <v/>
      </c>
      <c r="D23" s="22">
        <f>D20*(1-Inputs!$C$38)</f>
        <v/>
      </c>
      <c r="E23" s="22">
        <f>E20*(1-Inputs!$C$38)</f>
        <v/>
      </c>
      <c r="F23" s="22">
        <f>F20*(1-Inputs!$C$38)</f>
        <v/>
      </c>
      <c r="G23" s="22">
        <f>G20*(1-Inputs!$C$38)</f>
        <v/>
      </c>
      <c r="H23" s="22">
        <f>H20*(1-Inputs!$C$38)</f>
        <v/>
      </c>
    </row>
    <row r="24">
      <c r="A24" s="14" t="inlineStr">
        <is>
          <t>Plus: D&amp;A</t>
        </is>
      </c>
      <c r="C24" s="22">
        <f>C17*Inputs!$B$12</f>
        <v/>
      </c>
      <c r="D24" s="22">
        <f>D17*Inputs!$B$12</f>
        <v/>
      </c>
      <c r="E24" s="22">
        <f>E17*Inputs!$B$12</f>
        <v/>
      </c>
      <c r="F24" s="22">
        <f>F17*Inputs!$B$12</f>
        <v/>
      </c>
      <c r="G24" s="22">
        <f>G17*Inputs!$B$12</f>
        <v/>
      </c>
      <c r="H24" s="22">
        <f>H17*Inputs!$B$12</f>
        <v/>
      </c>
    </row>
    <row r="25">
      <c r="A25" s="14" t="inlineStr">
        <is>
          <t>Less: capex</t>
        </is>
      </c>
      <c r="C25" s="22">
        <f>-C17*Inputs!$B$11</f>
        <v/>
      </c>
      <c r="D25" s="22">
        <f>-D17*Inputs!$B$11</f>
        <v/>
      </c>
      <c r="E25" s="22">
        <f>-E17*Inputs!$B$11</f>
        <v/>
      </c>
      <c r="F25" s="22">
        <f>-F17*Inputs!$B$11</f>
        <v/>
      </c>
      <c r="G25" s="22">
        <f>-G17*Inputs!$B$11</f>
        <v/>
      </c>
      <c r="H25" s="22">
        <f>-H17*Inputs!$B$11</f>
        <v/>
      </c>
    </row>
    <row r="26">
      <c r="A26" s="14" t="inlineStr">
        <is>
          <t>Less: WC change</t>
        </is>
      </c>
      <c r="C26" s="22">
        <f>-(C17-B17)*Inputs!$B$13</f>
        <v/>
      </c>
      <c r="D26" s="22">
        <f>-(D17-C17)*Inputs!$B$13</f>
        <v/>
      </c>
      <c r="E26" s="22">
        <f>-(E17-D17)*Inputs!$B$13</f>
        <v/>
      </c>
      <c r="F26" s="22">
        <f>-(F17-E17)*Inputs!$B$13</f>
        <v/>
      </c>
      <c r="G26" s="22">
        <f>-(G17-F17)*Inputs!$B$13</f>
        <v/>
      </c>
      <c r="H26" s="22">
        <f>-(H17-G17)*Inputs!$B$13</f>
        <v/>
      </c>
    </row>
    <row r="27">
      <c r="A27" s="10" t="inlineStr">
        <is>
          <t>FCFF</t>
        </is>
      </c>
      <c r="C27" s="22">
        <f>C23+C24+C25+C26</f>
        <v/>
      </c>
      <c r="D27" s="22">
        <f>D23+D24+D25+D26</f>
        <v/>
      </c>
      <c r="E27" s="22">
        <f>E23+E24+E25+E26</f>
        <v/>
      </c>
      <c r="F27" s="22">
        <f>F23+F24+F25+F26</f>
        <v/>
      </c>
      <c r="G27" s="22">
        <f>G23+G24+G25+G26</f>
        <v/>
      </c>
      <c r="H27" s="22">
        <f>H23+H24+H25+H26</f>
        <v/>
      </c>
    </row>
    <row r="28">
      <c r="A28" s="14" t="inlineStr">
        <is>
          <t>Mid-period t (FY26 excl.)</t>
        </is>
      </c>
      <c r="C28" s="23" t="n">
        <v>0</v>
      </c>
      <c r="D28" s="23" t="n">
        <v>0.5</v>
      </c>
      <c r="E28" s="23" t="n">
        <v>1.5</v>
      </c>
      <c r="F28" s="23" t="n">
        <v>2.5</v>
      </c>
      <c r="G28" s="23" t="n">
        <v>3.5</v>
      </c>
      <c r="H28" s="23" t="n">
        <v>4.5</v>
      </c>
    </row>
    <row r="29">
      <c r="A29" s="14" t="inlineStr">
        <is>
          <t>Discount factor</t>
        </is>
      </c>
      <c r="C29" s="24">
        <f>1/(1+Inputs!$B$22)^C28</f>
        <v/>
      </c>
      <c r="D29" s="24">
        <f>1/(1+Inputs!$B$22)^D28</f>
        <v/>
      </c>
      <c r="E29" s="24">
        <f>1/(1+Inputs!$B$22)^E28</f>
        <v/>
      </c>
      <c r="F29" s="24">
        <f>1/(1+Inputs!$B$22)^F28</f>
        <v/>
      </c>
      <c r="G29" s="24">
        <f>1/(1+Inputs!$B$22)^G28</f>
        <v/>
      </c>
      <c r="H29" s="24">
        <f>1/(1+Inputs!$B$22)^H28</f>
        <v/>
      </c>
    </row>
    <row r="30">
      <c r="A30" s="14" t="inlineStr">
        <is>
          <t>PV of FCFF (FY27–FY31)</t>
        </is>
      </c>
      <c r="C30" s="22" t="n">
        <v>0</v>
      </c>
      <c r="D30" s="22">
        <f>D27*D29</f>
        <v/>
      </c>
      <c r="E30" s="22">
        <f>E27*E29</f>
        <v/>
      </c>
      <c r="F30" s="22">
        <f>F27*F29</f>
        <v/>
      </c>
      <c r="G30" s="22">
        <f>G27*G29</f>
        <v/>
      </c>
      <c r="H30" s="22">
        <f>H27*H29</f>
        <v/>
      </c>
    </row>
    <row r="32">
      <c r="A32" s="10" t="inlineStr">
        <is>
          <t>Sum explicit PV (FY27–FY31)</t>
        </is>
      </c>
      <c r="C32" s="22">
        <f>SUM(D30:H30)</f>
        <v/>
      </c>
    </row>
    <row r="33">
      <c r="A33" s="14" t="inlineStr">
        <is>
          <t>Terminal FCFF (FY31 normalised)</t>
        </is>
      </c>
      <c r="C33" s="22">
        <f>(H17*Inputs!$C$36*(1-Inputs!$C$38)+H17*Inputs!$B$12-H17*Inputs!$B$11-H17*Inputs!$C$37*Inputs!$B$13)*(1+Inputs!$C$37)</f>
        <v/>
      </c>
    </row>
    <row r="34">
      <c r="A34" s="14" t="inlineStr">
        <is>
          <t>Terminal value (Gordon)</t>
        </is>
      </c>
      <c r="C34" s="22">
        <f>C33/(Inputs!$B$22-Inputs!$C$37)</f>
        <v/>
      </c>
    </row>
    <row r="35">
      <c r="A35" s="14" t="inlineStr">
        <is>
          <t>Discount factor t=5</t>
        </is>
      </c>
      <c r="C35" s="24">
        <f>1/(1+Inputs!$B$22)^5</f>
        <v/>
      </c>
    </row>
    <row r="36">
      <c r="A36" s="14" t="inlineStr">
        <is>
          <t>PV of terminal value</t>
        </is>
      </c>
      <c r="C36" s="22">
        <f>C34*C35</f>
        <v/>
      </c>
    </row>
    <row r="37">
      <c r="A37" s="10" t="inlineStr">
        <is>
          <t>Enterprise value</t>
        </is>
      </c>
      <c r="C37" s="22">
        <f>C32+C36</f>
        <v/>
      </c>
    </row>
    <row r="38">
      <c r="A38" s="14" t="inlineStr">
        <is>
          <t>Less: net debt</t>
        </is>
      </c>
      <c r="C38" s="22">
        <f>-Inputs!$B$17</f>
        <v/>
      </c>
    </row>
    <row r="39">
      <c r="A39" s="14" t="inlineStr">
        <is>
          <t>Less: restructuring cash</t>
        </is>
      </c>
      <c r="C39" s="22">
        <f>-Inputs!$B$18</f>
        <v/>
      </c>
    </row>
    <row r="40">
      <c r="A40" s="10" t="inlineStr">
        <is>
          <t>Equity value</t>
        </is>
      </c>
      <c r="C40" s="22">
        <f>C37+C38+C39</f>
        <v/>
      </c>
    </row>
    <row r="41">
      <c r="A41" s="14" t="inlineStr">
        <is>
          <t>Shares (m)</t>
        </is>
      </c>
      <c r="C41" s="22">
        <f>Inputs!$B$19</f>
        <v/>
      </c>
    </row>
    <row r="42">
      <c r="A42" s="10" t="inlineStr">
        <is>
          <t>Value per share (USD)</t>
        </is>
      </c>
      <c r="C42" s="11">
        <f>C40/C41</f>
        <v/>
      </c>
    </row>
    <row r="43">
      <c r="A43" s="10" t="inlineStr">
        <is>
          <t>Value per share (AUD)</t>
        </is>
      </c>
      <c r="C43" s="11">
        <f>C42*Inputs!$B$20</f>
        <v/>
      </c>
    </row>
    <row r="44">
      <c r="A44" s="14" t="inlineStr">
        <is>
          <t>Terminal % of EV (memo)</t>
        </is>
      </c>
      <c r="C44" s="25">
        <f>C36/C37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Muddle Through — segment DCF (USD m)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3">
      <c r="A3" s="14" t="inlineStr">
        <is>
          <t>Line</t>
        </is>
      </c>
      <c r="B3" s="10" t="inlineStr">
        <is>
          <t>FY25</t>
        </is>
      </c>
      <c r="C3" s="10" t="inlineStr">
        <is>
          <t>FY26</t>
        </is>
      </c>
      <c r="D3" s="10" t="inlineStr">
        <is>
          <t>FY27</t>
        </is>
      </c>
      <c r="E3" s="10" t="inlineStr">
        <is>
          <t>FY28</t>
        </is>
      </c>
      <c r="F3" s="10" t="inlineStr">
        <is>
          <t>FY29</t>
        </is>
      </c>
      <c r="G3" s="10" t="inlineStr">
        <is>
          <t>FY30</t>
        </is>
      </c>
      <c r="H3" s="10" t="inlineStr">
        <is>
          <t>FY31</t>
        </is>
      </c>
    </row>
    <row r="5">
      <c r="A5" s="14" t="inlineStr">
        <is>
          <t>Behring revenue</t>
        </is>
      </c>
      <c r="B5" s="22">
        <f>Inputs!$B$3</f>
        <v/>
      </c>
      <c r="C5" s="22">
        <f>B5*(1+Inputs!$D$25)</f>
        <v/>
      </c>
      <c r="D5" s="22">
        <f>C5*(1+Inputs!$D$26)</f>
        <v/>
      </c>
      <c r="E5" s="22">
        <f>D5*(1+Inputs!$D$27)</f>
        <v/>
      </c>
      <c r="F5" s="22">
        <f>E5*(1+Inputs!$D$28)</f>
        <v/>
      </c>
      <c r="G5" s="22">
        <f>F5*(1+Inputs!$D$29)</f>
        <v/>
      </c>
      <c r="H5" s="22">
        <f>G5*(1+Inputs!$D$30)</f>
        <v/>
      </c>
    </row>
    <row r="6">
      <c r="A6" s="14" t="inlineStr">
        <is>
          <t>Behring OR margin</t>
        </is>
      </c>
      <c r="B6" s="20">
        <f>Inputs!$B$7</f>
        <v/>
      </c>
      <c r="C6" s="20">
        <f>Inputs!$B$7+Inputs!$D$33*(1/6)</f>
        <v/>
      </c>
      <c r="D6" s="20">
        <f>Inputs!$B$7+Inputs!$D$33*(2/6)</f>
        <v/>
      </c>
      <c r="E6" s="20">
        <f>Inputs!$B$7+Inputs!$D$33*(3/6)</f>
        <v/>
      </c>
      <c r="F6" s="20">
        <f>Inputs!$B$7+Inputs!$D$33*(4/6)</f>
        <v/>
      </c>
      <c r="G6" s="20">
        <f>Inputs!$B$7+Inputs!$D$33*(5/6)</f>
        <v/>
      </c>
      <c r="H6" s="20">
        <f>Inputs!$B$7+Inputs!$D$33*(6/6)</f>
        <v/>
      </c>
    </row>
    <row r="7">
      <c r="A7" s="14" t="inlineStr">
        <is>
          <t>Behring OR</t>
        </is>
      </c>
      <c r="B7" s="22">
        <f>B5*B6</f>
        <v/>
      </c>
      <c r="C7" s="22">
        <f>C5*C6</f>
        <v/>
      </c>
      <c r="D7" s="22">
        <f>D5*D6</f>
        <v/>
      </c>
      <c r="E7" s="22">
        <f>E5*E6</f>
        <v/>
      </c>
      <c r="F7" s="22">
        <f>F5*F6</f>
        <v/>
      </c>
      <c r="G7" s="22">
        <f>G5*G6</f>
        <v/>
      </c>
      <c r="H7" s="22">
        <f>H5*H6</f>
        <v/>
      </c>
    </row>
    <row r="9">
      <c r="A9" s="14" t="inlineStr">
        <is>
          <t>Seqirus revenue</t>
        </is>
      </c>
      <c r="B9" s="22">
        <f>Inputs!$B$4</f>
        <v/>
      </c>
      <c r="C9" s="22">
        <f>B9*(1+Inputs!$D$31)</f>
        <v/>
      </c>
      <c r="D9" s="22">
        <f>C9*(1+Inputs!$D$31)</f>
        <v/>
      </c>
      <c r="E9" s="22">
        <f>D9*(1+Inputs!$D$31)</f>
        <v/>
      </c>
      <c r="F9" s="22">
        <f>E9*(1+Inputs!$D$31)</f>
        <v/>
      </c>
      <c r="G9" s="22">
        <f>F9*(1+Inputs!$D$31)</f>
        <v/>
      </c>
      <c r="H9" s="22">
        <f>G9*(1+Inputs!$D$31)</f>
        <v/>
      </c>
    </row>
    <row r="10">
      <c r="A10" s="14" t="inlineStr">
        <is>
          <t>Seqirus OR margin</t>
        </is>
      </c>
      <c r="B10" s="20">
        <f>Inputs!$B$8</f>
        <v/>
      </c>
      <c r="C10" s="20">
        <f>Inputs!$B$8+Inputs!$D$34*(1/6)</f>
        <v/>
      </c>
      <c r="D10" s="20">
        <f>Inputs!$B$8+Inputs!$D$34*(2/6)</f>
        <v/>
      </c>
      <c r="E10" s="20">
        <f>Inputs!$B$8+Inputs!$D$34*(3/6)</f>
        <v/>
      </c>
      <c r="F10" s="20">
        <f>Inputs!$B$8+Inputs!$D$34*(4/6)</f>
        <v/>
      </c>
      <c r="G10" s="20">
        <f>Inputs!$B$8+Inputs!$D$34*(5/6)</f>
        <v/>
      </c>
      <c r="H10" s="20">
        <f>Inputs!$B$8+Inputs!$D$34*(6/6)</f>
        <v/>
      </c>
    </row>
    <row r="11">
      <c r="A11" s="14" t="inlineStr">
        <is>
          <t>Seqirus OR</t>
        </is>
      </c>
      <c r="B11" s="22">
        <f>B9*B10</f>
        <v/>
      </c>
      <c r="C11" s="22">
        <f>C9*C10</f>
        <v/>
      </c>
      <c r="D11" s="22">
        <f>D9*D10</f>
        <v/>
      </c>
      <c r="E11" s="22">
        <f>E9*E10</f>
        <v/>
      </c>
      <c r="F11" s="22">
        <f>F9*F10</f>
        <v/>
      </c>
      <c r="G11" s="22">
        <f>G9*G10</f>
        <v/>
      </c>
      <c r="H11" s="22">
        <f>H9*H10</f>
        <v/>
      </c>
    </row>
    <row r="13">
      <c r="A13" s="14" t="inlineStr">
        <is>
          <t>Vifor revenue</t>
        </is>
      </c>
      <c r="B13" s="22">
        <f>Inputs!$B$5</f>
        <v/>
      </c>
      <c r="C13" s="22">
        <f>B13*(1+Inputs!$D$32)</f>
        <v/>
      </c>
      <c r="D13" s="22">
        <f>C13*(1+Inputs!$D$32)</f>
        <v/>
      </c>
      <c r="E13" s="22">
        <f>D13*(1+Inputs!$D$32)</f>
        <v/>
      </c>
      <c r="F13" s="22">
        <f>E13*(1+Inputs!$D$32)</f>
        <v/>
      </c>
      <c r="G13" s="22">
        <f>F13*(1+Inputs!$D$32)</f>
        <v/>
      </c>
      <c r="H13" s="22">
        <f>G13*(1+Inputs!$D$32)</f>
        <v/>
      </c>
    </row>
    <row r="14">
      <c r="A14" s="14" t="inlineStr">
        <is>
          <t>Vifor OR margin</t>
        </is>
      </c>
      <c r="B14" s="20">
        <f>Inputs!$B$9</f>
        <v/>
      </c>
      <c r="C14" s="20">
        <f>Inputs!$B$9+Inputs!$D$35*(1/6)</f>
        <v/>
      </c>
      <c r="D14" s="20">
        <f>Inputs!$B$9+Inputs!$D$35*(2/6)</f>
        <v/>
      </c>
      <c r="E14" s="20">
        <f>Inputs!$B$9+Inputs!$D$35*(3/6)</f>
        <v/>
      </c>
      <c r="F14" s="20">
        <f>Inputs!$B$9+Inputs!$D$35*(4/6)</f>
        <v/>
      </c>
      <c r="G14" s="20">
        <f>Inputs!$B$9+Inputs!$D$35*(5/6)</f>
        <v/>
      </c>
      <c r="H14" s="20">
        <f>Inputs!$B$9+Inputs!$D$35*(6/6)</f>
        <v/>
      </c>
    </row>
    <row r="15">
      <c r="A15" s="14" t="inlineStr">
        <is>
          <t>Vifor OR</t>
        </is>
      </c>
      <c r="B15" s="22">
        <f>B13*B14</f>
        <v/>
      </c>
      <c r="C15" s="22">
        <f>C13*C14</f>
        <v/>
      </c>
      <c r="D15" s="22">
        <f>D13*D14</f>
        <v/>
      </c>
      <c r="E15" s="22">
        <f>E13*E14</f>
        <v/>
      </c>
      <c r="F15" s="22">
        <f>F13*F14</f>
        <v/>
      </c>
      <c r="G15" s="22">
        <f>G13*G14</f>
        <v/>
      </c>
      <c r="H15" s="22">
        <f>H13*H14</f>
        <v/>
      </c>
    </row>
    <row r="17">
      <c r="A17" s="10" t="inlineStr">
        <is>
          <t>Group revenue</t>
        </is>
      </c>
      <c r="B17" s="22">
        <f>B5+B9+B13</f>
        <v/>
      </c>
      <c r="C17" s="22">
        <f>C5+C9+C13</f>
        <v/>
      </c>
      <c r="D17" s="22">
        <f>D5+D9+D13</f>
        <v/>
      </c>
      <c r="E17" s="22">
        <f>E5+E9+E13</f>
        <v/>
      </c>
      <c r="F17" s="22">
        <f>F5+F9+F13</f>
        <v/>
      </c>
      <c r="G17" s="22">
        <f>G5+G9+G13</f>
        <v/>
      </c>
      <c r="H17" s="22">
        <f>H5+H9+H13</f>
        <v/>
      </c>
    </row>
    <row r="18">
      <c r="A18" s="14" t="inlineStr">
        <is>
          <t>Segment OR (sum)</t>
        </is>
      </c>
      <c r="B18" s="22">
        <f>B7+B11+B15</f>
        <v/>
      </c>
      <c r="C18" s="22">
        <f>C7+C11+C15</f>
        <v/>
      </c>
      <c r="D18" s="22">
        <f>D7+D11+D15</f>
        <v/>
      </c>
      <c r="E18" s="22">
        <f>E7+E11+E15</f>
        <v/>
      </c>
      <c r="F18" s="22">
        <f>F7+F11+F15</f>
        <v/>
      </c>
      <c r="G18" s="22">
        <f>G7+G11+G15</f>
        <v/>
      </c>
      <c r="H18" s="22">
        <f>H7+H11+H15</f>
        <v/>
      </c>
    </row>
    <row r="19">
      <c r="A19" s="14" t="inlineStr">
        <is>
          <t>Corporate / unalloc</t>
        </is>
      </c>
      <c r="B19" s="22">
        <f>Inputs!$B$10</f>
        <v/>
      </c>
      <c r="C19" s="22">
        <f>Inputs!$B$10*(1.005^1)</f>
        <v/>
      </c>
      <c r="D19" s="22">
        <f>Inputs!$B$10*(1.005^2)</f>
        <v/>
      </c>
      <c r="E19" s="22">
        <f>Inputs!$B$10*(1.005^3)</f>
        <v/>
      </c>
      <c r="F19" s="22">
        <f>Inputs!$B$10*(1.005^4)</f>
        <v/>
      </c>
      <c r="G19" s="22">
        <f>Inputs!$B$10*(1.005^5)</f>
        <v/>
      </c>
      <c r="H19" s="22">
        <f>Inputs!$B$10*(1.005^6)</f>
        <v/>
      </c>
    </row>
    <row r="20">
      <c r="A20" s="10" t="inlineStr">
        <is>
          <t>Group EBIT</t>
        </is>
      </c>
      <c r="B20" s="22">
        <f>B18+B19</f>
        <v/>
      </c>
      <c r="C20" s="22">
        <f>C18+C19</f>
        <v/>
      </c>
      <c r="D20" s="22">
        <f>D18+D19</f>
        <v/>
      </c>
      <c r="E20" s="22">
        <f>E18+E19</f>
        <v/>
      </c>
      <c r="F20" s="22">
        <f>F18+F19</f>
        <v/>
      </c>
      <c r="G20" s="22">
        <f>G18+G19</f>
        <v/>
      </c>
      <c r="H20" s="22">
        <f>H18+H19</f>
        <v/>
      </c>
    </row>
    <row r="21">
      <c r="A21" s="14" t="inlineStr">
        <is>
          <t>Group EBIT margin (memo)</t>
        </is>
      </c>
      <c r="B21" s="20">
        <f>B20/B17</f>
        <v/>
      </c>
      <c r="C21" s="20">
        <f>C20/C17</f>
        <v/>
      </c>
      <c r="D21" s="20">
        <f>D20/D17</f>
        <v/>
      </c>
      <c r="E21" s="20">
        <f>E20/E17</f>
        <v/>
      </c>
      <c r="F21" s="20">
        <f>F20/F17</f>
        <v/>
      </c>
      <c r="G21" s="20">
        <f>G20/G17</f>
        <v/>
      </c>
      <c r="H21" s="20">
        <f>H20/H17</f>
        <v/>
      </c>
    </row>
    <row r="23">
      <c r="A23" s="14" t="inlineStr">
        <is>
          <t>NOPAT = EBIT x (1-tax)</t>
        </is>
      </c>
      <c r="C23" s="22">
        <f>C20*(1-Inputs!$D$38)</f>
        <v/>
      </c>
      <c r="D23" s="22">
        <f>D20*(1-Inputs!$D$38)</f>
        <v/>
      </c>
      <c r="E23" s="22">
        <f>E20*(1-Inputs!$D$38)</f>
        <v/>
      </c>
      <c r="F23" s="22">
        <f>F20*(1-Inputs!$D$38)</f>
        <v/>
      </c>
      <c r="G23" s="22">
        <f>G20*(1-Inputs!$D$38)</f>
        <v/>
      </c>
      <c r="H23" s="22">
        <f>H20*(1-Inputs!$D$38)</f>
        <v/>
      </c>
    </row>
    <row r="24">
      <c r="A24" s="14" t="inlineStr">
        <is>
          <t>Plus: D&amp;A</t>
        </is>
      </c>
      <c r="C24" s="22">
        <f>C17*Inputs!$B$12</f>
        <v/>
      </c>
      <c r="D24" s="22">
        <f>D17*Inputs!$B$12</f>
        <v/>
      </c>
      <c r="E24" s="22">
        <f>E17*Inputs!$B$12</f>
        <v/>
      </c>
      <c r="F24" s="22">
        <f>F17*Inputs!$B$12</f>
        <v/>
      </c>
      <c r="G24" s="22">
        <f>G17*Inputs!$B$12</f>
        <v/>
      </c>
      <c r="H24" s="22">
        <f>H17*Inputs!$B$12</f>
        <v/>
      </c>
    </row>
    <row r="25">
      <c r="A25" s="14" t="inlineStr">
        <is>
          <t>Less: capex</t>
        </is>
      </c>
      <c r="C25" s="22">
        <f>-C17*Inputs!$B$11</f>
        <v/>
      </c>
      <c r="D25" s="22">
        <f>-D17*Inputs!$B$11</f>
        <v/>
      </c>
      <c r="E25" s="22">
        <f>-E17*Inputs!$B$11</f>
        <v/>
      </c>
      <c r="F25" s="22">
        <f>-F17*Inputs!$B$11</f>
        <v/>
      </c>
      <c r="G25" s="22">
        <f>-G17*Inputs!$B$11</f>
        <v/>
      </c>
      <c r="H25" s="22">
        <f>-H17*Inputs!$B$11</f>
        <v/>
      </c>
    </row>
    <row r="26">
      <c r="A26" s="14" t="inlineStr">
        <is>
          <t>Less: WC change</t>
        </is>
      </c>
      <c r="C26" s="22">
        <f>-(C17-B17)*Inputs!$B$13</f>
        <v/>
      </c>
      <c r="D26" s="22">
        <f>-(D17-C17)*Inputs!$B$13</f>
        <v/>
      </c>
      <c r="E26" s="22">
        <f>-(E17-D17)*Inputs!$B$13</f>
        <v/>
      </c>
      <c r="F26" s="22">
        <f>-(F17-E17)*Inputs!$B$13</f>
        <v/>
      </c>
      <c r="G26" s="22">
        <f>-(G17-F17)*Inputs!$B$13</f>
        <v/>
      </c>
      <c r="H26" s="22">
        <f>-(H17-G17)*Inputs!$B$13</f>
        <v/>
      </c>
    </row>
    <row r="27">
      <c r="A27" s="10" t="inlineStr">
        <is>
          <t>FCFF</t>
        </is>
      </c>
      <c r="C27" s="22">
        <f>C23+C24+C25+C26</f>
        <v/>
      </c>
      <c r="D27" s="22">
        <f>D23+D24+D25+D26</f>
        <v/>
      </c>
      <c r="E27" s="22">
        <f>E23+E24+E25+E26</f>
        <v/>
      </c>
      <c r="F27" s="22">
        <f>F23+F24+F25+F26</f>
        <v/>
      </c>
      <c r="G27" s="22">
        <f>G23+G24+G25+G26</f>
        <v/>
      </c>
      <c r="H27" s="22">
        <f>H23+H24+H25+H26</f>
        <v/>
      </c>
    </row>
    <row r="28">
      <c r="A28" s="14" t="inlineStr">
        <is>
          <t>Mid-period t (FY26 excl.)</t>
        </is>
      </c>
      <c r="C28" s="23" t="n">
        <v>0</v>
      </c>
      <c r="D28" s="23" t="n">
        <v>0.5</v>
      </c>
      <c r="E28" s="23" t="n">
        <v>1.5</v>
      </c>
      <c r="F28" s="23" t="n">
        <v>2.5</v>
      </c>
      <c r="G28" s="23" t="n">
        <v>3.5</v>
      </c>
      <c r="H28" s="23" t="n">
        <v>4.5</v>
      </c>
    </row>
    <row r="29">
      <c r="A29" s="14" t="inlineStr">
        <is>
          <t>Discount factor</t>
        </is>
      </c>
      <c r="C29" s="24">
        <f>1/(1+Inputs!$B$22)^C28</f>
        <v/>
      </c>
      <c r="D29" s="24">
        <f>1/(1+Inputs!$B$22)^D28</f>
        <v/>
      </c>
      <c r="E29" s="24">
        <f>1/(1+Inputs!$B$22)^E28</f>
        <v/>
      </c>
      <c r="F29" s="24">
        <f>1/(1+Inputs!$B$22)^F28</f>
        <v/>
      </c>
      <c r="G29" s="24">
        <f>1/(1+Inputs!$B$22)^G28</f>
        <v/>
      </c>
      <c r="H29" s="24">
        <f>1/(1+Inputs!$B$22)^H28</f>
        <v/>
      </c>
    </row>
    <row r="30">
      <c r="A30" s="14" t="inlineStr">
        <is>
          <t>PV of FCFF (FY27–FY31)</t>
        </is>
      </c>
      <c r="C30" s="22" t="n">
        <v>0</v>
      </c>
      <c r="D30" s="22">
        <f>D27*D29</f>
        <v/>
      </c>
      <c r="E30" s="22">
        <f>E27*E29</f>
        <v/>
      </c>
      <c r="F30" s="22">
        <f>F27*F29</f>
        <v/>
      </c>
      <c r="G30" s="22">
        <f>G27*G29</f>
        <v/>
      </c>
      <c r="H30" s="22">
        <f>H27*H29</f>
        <v/>
      </c>
    </row>
    <row r="32">
      <c r="A32" s="10" t="inlineStr">
        <is>
          <t>Sum explicit PV (FY27–FY31)</t>
        </is>
      </c>
      <c r="C32" s="22">
        <f>SUM(D30:H30)</f>
        <v/>
      </c>
    </row>
    <row r="33">
      <c r="A33" s="14" t="inlineStr">
        <is>
          <t>Terminal FCFF (FY31 normalised)</t>
        </is>
      </c>
      <c r="C33" s="22">
        <f>(H17*Inputs!$D$36*(1-Inputs!$D$38)+H17*Inputs!$B$12-H17*Inputs!$B$11-H17*Inputs!$D$37*Inputs!$B$13)*(1+Inputs!$D$37)</f>
        <v/>
      </c>
    </row>
    <row r="34">
      <c r="A34" s="14" t="inlineStr">
        <is>
          <t>Terminal value (Gordon)</t>
        </is>
      </c>
      <c r="C34" s="22">
        <f>C33/(Inputs!$B$22-Inputs!$D$37)</f>
        <v/>
      </c>
    </row>
    <row r="35">
      <c r="A35" s="14" t="inlineStr">
        <is>
          <t>Discount factor t=5</t>
        </is>
      </c>
      <c r="C35" s="24">
        <f>1/(1+Inputs!$B$22)^5</f>
        <v/>
      </c>
    </row>
    <row r="36">
      <c r="A36" s="14" t="inlineStr">
        <is>
          <t>PV of terminal value</t>
        </is>
      </c>
      <c r="C36" s="22">
        <f>C34*C35</f>
        <v/>
      </c>
    </row>
    <row r="37">
      <c r="A37" s="10" t="inlineStr">
        <is>
          <t>Enterprise value</t>
        </is>
      </c>
      <c r="C37" s="22">
        <f>C32+C36</f>
        <v/>
      </c>
    </row>
    <row r="38">
      <c r="A38" s="14" t="inlineStr">
        <is>
          <t>Less: net debt</t>
        </is>
      </c>
      <c r="C38" s="22">
        <f>-Inputs!$B$17</f>
        <v/>
      </c>
    </row>
    <row r="39">
      <c r="A39" s="14" t="inlineStr">
        <is>
          <t>Less: restructuring cash</t>
        </is>
      </c>
      <c r="C39" s="22">
        <f>-Inputs!$B$18</f>
        <v/>
      </c>
    </row>
    <row r="40">
      <c r="A40" s="10" t="inlineStr">
        <is>
          <t>Equity value</t>
        </is>
      </c>
      <c r="C40" s="22">
        <f>C37+C38+C39</f>
        <v/>
      </c>
    </row>
    <row r="41">
      <c r="A41" s="14" t="inlineStr">
        <is>
          <t>Shares (m)</t>
        </is>
      </c>
      <c r="C41" s="22">
        <f>Inputs!$B$19</f>
        <v/>
      </c>
    </row>
    <row r="42">
      <c r="A42" s="10" t="inlineStr">
        <is>
          <t>Value per share (USD)</t>
        </is>
      </c>
      <c r="C42" s="11">
        <f>C40/C41</f>
        <v/>
      </c>
    </row>
    <row r="43">
      <c r="A43" s="10" t="inlineStr">
        <is>
          <t>Value per share (AUD)</t>
        </is>
      </c>
      <c r="C43" s="11">
        <f>C42*Inputs!$B$20</f>
        <v/>
      </c>
    </row>
    <row r="44">
      <c r="A44" s="14" t="inlineStr">
        <is>
          <t>Terminal % of EV (memo)</t>
        </is>
      </c>
      <c r="C44" s="25">
        <f>C36/C37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AI Productivity Lag — segment DCF (USD m)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3">
      <c r="A3" s="14" t="inlineStr">
        <is>
          <t>Line</t>
        </is>
      </c>
      <c r="B3" s="10" t="inlineStr">
        <is>
          <t>FY25</t>
        </is>
      </c>
      <c r="C3" s="10" t="inlineStr">
        <is>
          <t>FY26</t>
        </is>
      </c>
      <c r="D3" s="10" t="inlineStr">
        <is>
          <t>FY27</t>
        </is>
      </c>
      <c r="E3" s="10" t="inlineStr">
        <is>
          <t>FY28</t>
        </is>
      </c>
      <c r="F3" s="10" t="inlineStr">
        <is>
          <t>FY29</t>
        </is>
      </c>
      <c r="G3" s="10" t="inlineStr">
        <is>
          <t>FY30</t>
        </is>
      </c>
      <c r="H3" s="10" t="inlineStr">
        <is>
          <t>FY31</t>
        </is>
      </c>
    </row>
    <row r="5">
      <c r="A5" s="14" t="inlineStr">
        <is>
          <t>Behring revenue</t>
        </is>
      </c>
      <c r="B5" s="22">
        <f>Inputs!$B$3</f>
        <v/>
      </c>
      <c r="C5" s="22">
        <f>B5*(1+Inputs!$E$25)</f>
        <v/>
      </c>
      <c r="D5" s="22">
        <f>C5*(1+Inputs!$E$26)</f>
        <v/>
      </c>
      <c r="E5" s="22">
        <f>D5*(1+Inputs!$E$27)</f>
        <v/>
      </c>
      <c r="F5" s="22">
        <f>E5*(1+Inputs!$E$28)</f>
        <v/>
      </c>
      <c r="G5" s="22">
        <f>F5*(1+Inputs!$E$29)</f>
        <v/>
      </c>
      <c r="H5" s="22">
        <f>G5*(1+Inputs!$E$30)</f>
        <v/>
      </c>
    </row>
    <row r="6">
      <c r="A6" s="14" t="inlineStr">
        <is>
          <t>Behring OR margin</t>
        </is>
      </c>
      <c r="B6" s="20">
        <f>Inputs!$B$7</f>
        <v/>
      </c>
      <c r="C6" s="20">
        <f>Inputs!$B$7+Inputs!$E$33*(1/6)</f>
        <v/>
      </c>
      <c r="D6" s="20">
        <f>Inputs!$B$7+Inputs!$E$33*(2/6)</f>
        <v/>
      </c>
      <c r="E6" s="20">
        <f>Inputs!$B$7+Inputs!$E$33*(3/6)</f>
        <v/>
      </c>
      <c r="F6" s="20">
        <f>Inputs!$B$7+Inputs!$E$33*(4/6)</f>
        <v/>
      </c>
      <c r="G6" s="20">
        <f>Inputs!$B$7+Inputs!$E$33*(5/6)</f>
        <v/>
      </c>
      <c r="H6" s="20">
        <f>Inputs!$B$7+Inputs!$E$33*(6/6)</f>
        <v/>
      </c>
    </row>
    <row r="7">
      <c r="A7" s="14" t="inlineStr">
        <is>
          <t>Behring OR</t>
        </is>
      </c>
      <c r="B7" s="22">
        <f>B5*B6</f>
        <v/>
      </c>
      <c r="C7" s="22">
        <f>C5*C6</f>
        <v/>
      </c>
      <c r="D7" s="22">
        <f>D5*D6</f>
        <v/>
      </c>
      <c r="E7" s="22">
        <f>E5*E6</f>
        <v/>
      </c>
      <c r="F7" s="22">
        <f>F5*F6</f>
        <v/>
      </c>
      <c r="G7" s="22">
        <f>G5*G6</f>
        <v/>
      </c>
      <c r="H7" s="22">
        <f>H5*H6</f>
        <v/>
      </c>
    </row>
    <row r="9">
      <c r="A9" s="14" t="inlineStr">
        <is>
          <t>Seqirus revenue</t>
        </is>
      </c>
      <c r="B9" s="22">
        <f>Inputs!$B$4</f>
        <v/>
      </c>
      <c r="C9" s="22">
        <f>B9*(1+Inputs!$E$31)</f>
        <v/>
      </c>
      <c r="D9" s="22">
        <f>C9*(1+Inputs!$E$31)</f>
        <v/>
      </c>
      <c r="E9" s="22">
        <f>D9*(1+Inputs!$E$31)</f>
        <v/>
      </c>
      <c r="F9" s="22">
        <f>E9*(1+Inputs!$E$31)</f>
        <v/>
      </c>
      <c r="G9" s="22">
        <f>F9*(1+Inputs!$E$31)</f>
        <v/>
      </c>
      <c r="H9" s="22">
        <f>G9*(1+Inputs!$E$31)</f>
        <v/>
      </c>
    </row>
    <row r="10">
      <c r="A10" s="14" t="inlineStr">
        <is>
          <t>Seqirus OR margin</t>
        </is>
      </c>
      <c r="B10" s="20">
        <f>Inputs!$B$8</f>
        <v/>
      </c>
      <c r="C10" s="20">
        <f>Inputs!$B$8+Inputs!$E$34*(1/6)</f>
        <v/>
      </c>
      <c r="D10" s="20">
        <f>Inputs!$B$8+Inputs!$E$34*(2/6)</f>
        <v/>
      </c>
      <c r="E10" s="20">
        <f>Inputs!$B$8+Inputs!$E$34*(3/6)</f>
        <v/>
      </c>
      <c r="F10" s="20">
        <f>Inputs!$B$8+Inputs!$E$34*(4/6)</f>
        <v/>
      </c>
      <c r="G10" s="20">
        <f>Inputs!$B$8+Inputs!$E$34*(5/6)</f>
        <v/>
      </c>
      <c r="H10" s="20">
        <f>Inputs!$B$8+Inputs!$E$34*(6/6)</f>
        <v/>
      </c>
    </row>
    <row r="11">
      <c r="A11" s="14" t="inlineStr">
        <is>
          <t>Seqirus OR</t>
        </is>
      </c>
      <c r="B11" s="22">
        <f>B9*B10</f>
        <v/>
      </c>
      <c r="C11" s="22">
        <f>C9*C10</f>
        <v/>
      </c>
      <c r="D11" s="22">
        <f>D9*D10</f>
        <v/>
      </c>
      <c r="E11" s="22">
        <f>E9*E10</f>
        <v/>
      </c>
      <c r="F11" s="22">
        <f>F9*F10</f>
        <v/>
      </c>
      <c r="G11" s="22">
        <f>G9*G10</f>
        <v/>
      </c>
      <c r="H11" s="22">
        <f>H9*H10</f>
        <v/>
      </c>
    </row>
    <row r="13">
      <c r="A13" s="14" t="inlineStr">
        <is>
          <t>Vifor revenue</t>
        </is>
      </c>
      <c r="B13" s="22">
        <f>Inputs!$B$5</f>
        <v/>
      </c>
      <c r="C13" s="22">
        <f>B13*(1+Inputs!$E$32)</f>
        <v/>
      </c>
      <c r="D13" s="22">
        <f>C13*(1+Inputs!$E$32)</f>
        <v/>
      </c>
      <c r="E13" s="22">
        <f>D13*(1+Inputs!$E$32)</f>
        <v/>
      </c>
      <c r="F13" s="22">
        <f>E13*(1+Inputs!$E$32)</f>
        <v/>
      </c>
      <c r="G13" s="22">
        <f>F13*(1+Inputs!$E$32)</f>
        <v/>
      </c>
      <c r="H13" s="22">
        <f>G13*(1+Inputs!$E$32)</f>
        <v/>
      </c>
    </row>
    <row r="14">
      <c r="A14" s="14" t="inlineStr">
        <is>
          <t>Vifor OR margin</t>
        </is>
      </c>
      <c r="B14" s="20">
        <f>Inputs!$B$9</f>
        <v/>
      </c>
      <c r="C14" s="20">
        <f>Inputs!$B$9+Inputs!$E$35*(1/6)</f>
        <v/>
      </c>
      <c r="D14" s="20">
        <f>Inputs!$B$9+Inputs!$E$35*(2/6)</f>
        <v/>
      </c>
      <c r="E14" s="20">
        <f>Inputs!$B$9+Inputs!$E$35*(3/6)</f>
        <v/>
      </c>
      <c r="F14" s="20">
        <f>Inputs!$B$9+Inputs!$E$35*(4/6)</f>
        <v/>
      </c>
      <c r="G14" s="20">
        <f>Inputs!$B$9+Inputs!$E$35*(5/6)</f>
        <v/>
      </c>
      <c r="H14" s="20">
        <f>Inputs!$B$9+Inputs!$E$35*(6/6)</f>
        <v/>
      </c>
    </row>
    <row r="15">
      <c r="A15" s="14" t="inlineStr">
        <is>
          <t>Vifor OR</t>
        </is>
      </c>
      <c r="B15" s="22">
        <f>B13*B14</f>
        <v/>
      </c>
      <c r="C15" s="22">
        <f>C13*C14</f>
        <v/>
      </c>
      <c r="D15" s="22">
        <f>D13*D14</f>
        <v/>
      </c>
      <c r="E15" s="22">
        <f>E13*E14</f>
        <v/>
      </c>
      <c r="F15" s="22">
        <f>F13*F14</f>
        <v/>
      </c>
      <c r="G15" s="22">
        <f>G13*G14</f>
        <v/>
      </c>
      <c r="H15" s="22">
        <f>H13*H14</f>
        <v/>
      </c>
    </row>
    <row r="17">
      <c r="A17" s="10" t="inlineStr">
        <is>
          <t>Group revenue</t>
        </is>
      </c>
      <c r="B17" s="22">
        <f>B5+B9+B13</f>
        <v/>
      </c>
      <c r="C17" s="22">
        <f>C5+C9+C13</f>
        <v/>
      </c>
      <c r="D17" s="22">
        <f>D5+D9+D13</f>
        <v/>
      </c>
      <c r="E17" s="22">
        <f>E5+E9+E13</f>
        <v/>
      </c>
      <c r="F17" s="22">
        <f>F5+F9+F13</f>
        <v/>
      </c>
      <c r="G17" s="22">
        <f>G5+G9+G13</f>
        <v/>
      </c>
      <c r="H17" s="22">
        <f>H5+H9+H13</f>
        <v/>
      </c>
    </row>
    <row r="18">
      <c r="A18" s="14" t="inlineStr">
        <is>
          <t>Segment OR (sum)</t>
        </is>
      </c>
      <c r="B18" s="22">
        <f>B7+B11+B15</f>
        <v/>
      </c>
      <c r="C18" s="22">
        <f>C7+C11+C15</f>
        <v/>
      </c>
      <c r="D18" s="22">
        <f>D7+D11+D15</f>
        <v/>
      </c>
      <c r="E18" s="22">
        <f>E7+E11+E15</f>
        <v/>
      </c>
      <c r="F18" s="22">
        <f>F7+F11+F15</f>
        <v/>
      </c>
      <c r="G18" s="22">
        <f>G7+G11+G15</f>
        <v/>
      </c>
      <c r="H18" s="22">
        <f>H7+H11+H15</f>
        <v/>
      </c>
    </row>
    <row r="19">
      <c r="A19" s="14" t="inlineStr">
        <is>
          <t>Corporate / unalloc</t>
        </is>
      </c>
      <c r="B19" s="22">
        <f>Inputs!$B$10</f>
        <v/>
      </c>
      <c r="C19" s="22">
        <f>Inputs!$B$10*(1.005^1)</f>
        <v/>
      </c>
      <c r="D19" s="22">
        <f>Inputs!$B$10*(1.005^2)</f>
        <v/>
      </c>
      <c r="E19" s="22">
        <f>Inputs!$B$10*(1.005^3)</f>
        <v/>
      </c>
      <c r="F19" s="22">
        <f>Inputs!$B$10*(1.005^4)</f>
        <v/>
      </c>
      <c r="G19" s="22">
        <f>Inputs!$B$10*(1.005^5)</f>
        <v/>
      </c>
      <c r="H19" s="22">
        <f>Inputs!$B$10*(1.005^6)</f>
        <v/>
      </c>
    </row>
    <row r="20">
      <c r="A20" s="10" t="inlineStr">
        <is>
          <t>Group EBIT</t>
        </is>
      </c>
      <c r="B20" s="22">
        <f>B18+B19</f>
        <v/>
      </c>
      <c r="C20" s="22">
        <f>C18+C19</f>
        <v/>
      </c>
      <c r="D20" s="22">
        <f>D18+D19</f>
        <v/>
      </c>
      <c r="E20" s="22">
        <f>E18+E19</f>
        <v/>
      </c>
      <c r="F20" s="22">
        <f>F18+F19</f>
        <v/>
      </c>
      <c r="G20" s="22">
        <f>G18+G19</f>
        <v/>
      </c>
      <c r="H20" s="22">
        <f>H18+H19</f>
        <v/>
      </c>
    </row>
    <row r="21">
      <c r="A21" s="14" t="inlineStr">
        <is>
          <t>Group EBIT margin (memo)</t>
        </is>
      </c>
      <c r="B21" s="20">
        <f>B20/B17</f>
        <v/>
      </c>
      <c r="C21" s="20">
        <f>C20/C17</f>
        <v/>
      </c>
      <c r="D21" s="20">
        <f>D20/D17</f>
        <v/>
      </c>
      <c r="E21" s="20">
        <f>E20/E17</f>
        <v/>
      </c>
      <c r="F21" s="20">
        <f>F20/F17</f>
        <v/>
      </c>
      <c r="G21" s="20">
        <f>G20/G17</f>
        <v/>
      </c>
      <c r="H21" s="20">
        <f>H20/H17</f>
        <v/>
      </c>
    </row>
    <row r="23">
      <c r="A23" s="14" t="inlineStr">
        <is>
          <t>NOPAT = EBIT x (1-tax)</t>
        </is>
      </c>
      <c r="C23" s="22">
        <f>C20*(1-Inputs!$E$38)</f>
        <v/>
      </c>
      <c r="D23" s="22">
        <f>D20*(1-Inputs!$E$38)</f>
        <v/>
      </c>
      <c r="E23" s="22">
        <f>E20*(1-Inputs!$E$38)</f>
        <v/>
      </c>
      <c r="F23" s="22">
        <f>F20*(1-Inputs!$E$38)</f>
        <v/>
      </c>
      <c r="G23" s="22">
        <f>G20*(1-Inputs!$E$38)</f>
        <v/>
      </c>
      <c r="H23" s="22">
        <f>H20*(1-Inputs!$E$38)</f>
        <v/>
      </c>
    </row>
    <row r="24">
      <c r="A24" s="14" t="inlineStr">
        <is>
          <t>Plus: D&amp;A</t>
        </is>
      </c>
      <c r="C24" s="22">
        <f>C17*Inputs!$B$12</f>
        <v/>
      </c>
      <c r="D24" s="22">
        <f>D17*Inputs!$B$12</f>
        <v/>
      </c>
      <c r="E24" s="22">
        <f>E17*Inputs!$B$12</f>
        <v/>
      </c>
      <c r="F24" s="22">
        <f>F17*Inputs!$B$12</f>
        <v/>
      </c>
      <c r="G24" s="22">
        <f>G17*Inputs!$B$12</f>
        <v/>
      </c>
      <c r="H24" s="22">
        <f>H17*Inputs!$B$12</f>
        <v/>
      </c>
    </row>
    <row r="25">
      <c r="A25" s="14" t="inlineStr">
        <is>
          <t>Less: capex</t>
        </is>
      </c>
      <c r="C25" s="22">
        <f>-C17*Inputs!$B$11</f>
        <v/>
      </c>
      <c r="D25" s="22">
        <f>-D17*Inputs!$B$11</f>
        <v/>
      </c>
      <c r="E25" s="22">
        <f>-E17*Inputs!$B$11</f>
        <v/>
      </c>
      <c r="F25" s="22">
        <f>-F17*Inputs!$B$11</f>
        <v/>
      </c>
      <c r="G25" s="22">
        <f>-G17*Inputs!$B$11</f>
        <v/>
      </c>
      <c r="H25" s="22">
        <f>-H17*Inputs!$B$11</f>
        <v/>
      </c>
    </row>
    <row r="26">
      <c r="A26" s="14" t="inlineStr">
        <is>
          <t>Less: WC change</t>
        </is>
      </c>
      <c r="C26" s="22">
        <f>-(C17-B17)*Inputs!$B$13</f>
        <v/>
      </c>
      <c r="D26" s="22">
        <f>-(D17-C17)*Inputs!$B$13</f>
        <v/>
      </c>
      <c r="E26" s="22">
        <f>-(E17-D17)*Inputs!$B$13</f>
        <v/>
      </c>
      <c r="F26" s="22">
        <f>-(F17-E17)*Inputs!$B$13</f>
        <v/>
      </c>
      <c r="G26" s="22">
        <f>-(G17-F17)*Inputs!$B$13</f>
        <v/>
      </c>
      <c r="H26" s="22">
        <f>-(H17-G17)*Inputs!$B$13</f>
        <v/>
      </c>
    </row>
    <row r="27">
      <c r="A27" s="10" t="inlineStr">
        <is>
          <t>FCFF</t>
        </is>
      </c>
      <c r="C27" s="22">
        <f>C23+C24+C25+C26</f>
        <v/>
      </c>
      <c r="D27" s="22">
        <f>D23+D24+D25+D26</f>
        <v/>
      </c>
      <c r="E27" s="22">
        <f>E23+E24+E25+E26</f>
        <v/>
      </c>
      <c r="F27" s="22">
        <f>F23+F24+F25+F26</f>
        <v/>
      </c>
      <c r="G27" s="22">
        <f>G23+G24+G25+G26</f>
        <v/>
      </c>
      <c r="H27" s="22">
        <f>H23+H24+H25+H26</f>
        <v/>
      </c>
    </row>
    <row r="28">
      <c r="A28" s="14" t="inlineStr">
        <is>
          <t>Mid-period t (FY26 excl.)</t>
        </is>
      </c>
      <c r="C28" s="23" t="n">
        <v>0</v>
      </c>
      <c r="D28" s="23" t="n">
        <v>0.5</v>
      </c>
      <c r="E28" s="23" t="n">
        <v>1.5</v>
      </c>
      <c r="F28" s="23" t="n">
        <v>2.5</v>
      </c>
      <c r="G28" s="23" t="n">
        <v>3.5</v>
      </c>
      <c r="H28" s="23" t="n">
        <v>4.5</v>
      </c>
    </row>
    <row r="29">
      <c r="A29" s="14" t="inlineStr">
        <is>
          <t>Discount factor</t>
        </is>
      </c>
      <c r="C29" s="24">
        <f>1/(1+Inputs!$B$22)^C28</f>
        <v/>
      </c>
      <c r="D29" s="24">
        <f>1/(1+Inputs!$B$22)^D28</f>
        <v/>
      </c>
      <c r="E29" s="24">
        <f>1/(1+Inputs!$B$22)^E28</f>
        <v/>
      </c>
      <c r="F29" s="24">
        <f>1/(1+Inputs!$B$22)^F28</f>
        <v/>
      </c>
      <c r="G29" s="24">
        <f>1/(1+Inputs!$B$22)^G28</f>
        <v/>
      </c>
      <c r="H29" s="24">
        <f>1/(1+Inputs!$B$22)^H28</f>
        <v/>
      </c>
    </row>
    <row r="30">
      <c r="A30" s="14" t="inlineStr">
        <is>
          <t>PV of FCFF (FY27–FY31)</t>
        </is>
      </c>
      <c r="C30" s="22" t="n">
        <v>0</v>
      </c>
      <c r="D30" s="22">
        <f>D27*D29</f>
        <v/>
      </c>
      <c r="E30" s="22">
        <f>E27*E29</f>
        <v/>
      </c>
      <c r="F30" s="22">
        <f>F27*F29</f>
        <v/>
      </c>
      <c r="G30" s="22">
        <f>G27*G29</f>
        <v/>
      </c>
      <c r="H30" s="22">
        <f>H27*H29</f>
        <v/>
      </c>
    </row>
    <row r="32">
      <c r="A32" s="10" t="inlineStr">
        <is>
          <t>Sum explicit PV (FY27–FY31)</t>
        </is>
      </c>
      <c r="C32" s="22">
        <f>SUM(D30:H30)</f>
        <v/>
      </c>
    </row>
    <row r="33">
      <c r="A33" s="14" t="inlineStr">
        <is>
          <t>Terminal FCFF (FY31 normalised)</t>
        </is>
      </c>
      <c r="C33" s="22">
        <f>(H17*Inputs!$E$36*(1-Inputs!$E$38)+H17*Inputs!$B$12-H17*Inputs!$B$11-H17*Inputs!$E$37*Inputs!$B$13)*(1+Inputs!$E$37)</f>
        <v/>
      </c>
    </row>
    <row r="34">
      <c r="A34" s="14" t="inlineStr">
        <is>
          <t>Terminal value (Gordon)</t>
        </is>
      </c>
      <c r="C34" s="22">
        <f>C33/(Inputs!$B$22-Inputs!$E$37)</f>
        <v/>
      </c>
    </row>
    <row r="35">
      <c r="A35" s="14" t="inlineStr">
        <is>
          <t>Discount factor t=5</t>
        </is>
      </c>
      <c r="C35" s="24">
        <f>1/(1+Inputs!$B$22)^5</f>
        <v/>
      </c>
    </row>
    <row r="36">
      <c r="A36" s="14" t="inlineStr">
        <is>
          <t>PV of terminal value</t>
        </is>
      </c>
      <c r="C36" s="22">
        <f>C34*C35</f>
        <v/>
      </c>
    </row>
    <row r="37">
      <c r="A37" s="10" t="inlineStr">
        <is>
          <t>Enterprise value</t>
        </is>
      </c>
      <c r="C37" s="22">
        <f>C32+C36</f>
        <v/>
      </c>
    </row>
    <row r="38">
      <c r="A38" s="14" t="inlineStr">
        <is>
          <t>Less: net debt</t>
        </is>
      </c>
      <c r="C38" s="22">
        <f>-Inputs!$B$17</f>
        <v/>
      </c>
    </row>
    <row r="39">
      <c r="A39" s="14" t="inlineStr">
        <is>
          <t>Less: restructuring cash</t>
        </is>
      </c>
      <c r="C39" s="22">
        <f>-Inputs!$B$18</f>
        <v/>
      </c>
    </row>
    <row r="40">
      <c r="A40" s="10" t="inlineStr">
        <is>
          <t>Equity value</t>
        </is>
      </c>
      <c r="C40" s="22">
        <f>C37+C38+C39</f>
        <v/>
      </c>
    </row>
    <row r="41">
      <c r="A41" s="14" t="inlineStr">
        <is>
          <t>Shares (m)</t>
        </is>
      </c>
      <c r="C41" s="22">
        <f>Inputs!$B$19</f>
        <v/>
      </c>
    </row>
    <row r="42">
      <c r="A42" s="10" t="inlineStr">
        <is>
          <t>Value per share (USD)</t>
        </is>
      </c>
      <c r="C42" s="11">
        <f>C40/C41</f>
        <v/>
      </c>
    </row>
    <row r="43">
      <c r="A43" s="10" t="inlineStr">
        <is>
          <t>Value per share (AUD)</t>
        </is>
      </c>
      <c r="C43" s="11">
        <f>C42*Inputs!$B$20</f>
        <v/>
      </c>
    </row>
    <row r="44">
      <c r="A44" s="14" t="inlineStr">
        <is>
          <t>Terminal % of EV (memo)</t>
        </is>
      </c>
      <c r="C44" s="25">
        <f>C36/C37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Disorderly Climate — segment DCF (USD m)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3">
      <c r="A3" s="14" t="inlineStr">
        <is>
          <t>Line</t>
        </is>
      </c>
      <c r="B3" s="10" t="inlineStr">
        <is>
          <t>FY25</t>
        </is>
      </c>
      <c r="C3" s="10" t="inlineStr">
        <is>
          <t>FY26</t>
        </is>
      </c>
      <c r="D3" s="10" t="inlineStr">
        <is>
          <t>FY27</t>
        </is>
      </c>
      <c r="E3" s="10" t="inlineStr">
        <is>
          <t>FY28</t>
        </is>
      </c>
      <c r="F3" s="10" t="inlineStr">
        <is>
          <t>FY29</t>
        </is>
      </c>
      <c r="G3" s="10" t="inlineStr">
        <is>
          <t>FY30</t>
        </is>
      </c>
      <c r="H3" s="10" t="inlineStr">
        <is>
          <t>FY31</t>
        </is>
      </c>
    </row>
    <row r="5">
      <c r="A5" s="14" t="inlineStr">
        <is>
          <t>Behring revenue</t>
        </is>
      </c>
      <c r="B5" s="22">
        <f>Inputs!$B$3</f>
        <v/>
      </c>
      <c r="C5" s="22">
        <f>B5*(1+Inputs!$F$25)</f>
        <v/>
      </c>
      <c r="D5" s="22">
        <f>C5*(1+Inputs!$F$26)</f>
        <v/>
      </c>
      <c r="E5" s="22">
        <f>D5*(1+Inputs!$F$27)</f>
        <v/>
      </c>
      <c r="F5" s="22">
        <f>E5*(1+Inputs!$F$28)</f>
        <v/>
      </c>
      <c r="G5" s="22">
        <f>F5*(1+Inputs!$F$29)</f>
        <v/>
      </c>
      <c r="H5" s="22">
        <f>G5*(1+Inputs!$F$30)</f>
        <v/>
      </c>
    </row>
    <row r="6">
      <c r="A6" s="14" t="inlineStr">
        <is>
          <t>Behring OR margin</t>
        </is>
      </c>
      <c r="B6" s="20">
        <f>Inputs!$B$7</f>
        <v/>
      </c>
      <c r="C6" s="20">
        <f>Inputs!$B$7+Inputs!$F$33*(1/6)</f>
        <v/>
      </c>
      <c r="D6" s="20">
        <f>Inputs!$B$7+Inputs!$F$33*(2/6)</f>
        <v/>
      </c>
      <c r="E6" s="20">
        <f>Inputs!$B$7+Inputs!$F$33*(3/6)</f>
        <v/>
      </c>
      <c r="F6" s="20">
        <f>Inputs!$B$7+Inputs!$F$33*(4/6)</f>
        <v/>
      </c>
      <c r="G6" s="20">
        <f>Inputs!$B$7+Inputs!$F$33*(5/6)</f>
        <v/>
      </c>
      <c r="H6" s="20">
        <f>Inputs!$B$7+Inputs!$F$33*(6/6)</f>
        <v/>
      </c>
    </row>
    <row r="7">
      <c r="A7" s="14" t="inlineStr">
        <is>
          <t>Behring OR</t>
        </is>
      </c>
      <c r="B7" s="22">
        <f>B5*B6</f>
        <v/>
      </c>
      <c r="C7" s="22">
        <f>C5*C6</f>
        <v/>
      </c>
      <c r="D7" s="22">
        <f>D5*D6</f>
        <v/>
      </c>
      <c r="E7" s="22">
        <f>E5*E6</f>
        <v/>
      </c>
      <c r="F7" s="22">
        <f>F5*F6</f>
        <v/>
      </c>
      <c r="G7" s="22">
        <f>G5*G6</f>
        <v/>
      </c>
      <c r="H7" s="22">
        <f>H5*H6</f>
        <v/>
      </c>
    </row>
    <row r="9">
      <c r="A9" s="14" t="inlineStr">
        <is>
          <t>Seqirus revenue</t>
        </is>
      </c>
      <c r="B9" s="22">
        <f>Inputs!$B$4</f>
        <v/>
      </c>
      <c r="C9" s="22">
        <f>B9*(1+Inputs!$F$31)</f>
        <v/>
      </c>
      <c r="D9" s="22">
        <f>C9*(1+Inputs!$F$31)</f>
        <v/>
      </c>
      <c r="E9" s="22">
        <f>D9*(1+Inputs!$F$31)</f>
        <v/>
      </c>
      <c r="F9" s="22">
        <f>E9*(1+Inputs!$F$31)</f>
        <v/>
      </c>
      <c r="G9" s="22">
        <f>F9*(1+Inputs!$F$31)</f>
        <v/>
      </c>
      <c r="H9" s="22">
        <f>G9*(1+Inputs!$F$31)</f>
        <v/>
      </c>
    </row>
    <row r="10">
      <c r="A10" s="14" t="inlineStr">
        <is>
          <t>Seqirus OR margin</t>
        </is>
      </c>
      <c r="B10" s="20">
        <f>Inputs!$B$8</f>
        <v/>
      </c>
      <c r="C10" s="20">
        <f>Inputs!$B$8+Inputs!$F$34*(1/6)</f>
        <v/>
      </c>
      <c r="D10" s="20">
        <f>Inputs!$B$8+Inputs!$F$34*(2/6)</f>
        <v/>
      </c>
      <c r="E10" s="20">
        <f>Inputs!$B$8+Inputs!$F$34*(3/6)</f>
        <v/>
      </c>
      <c r="F10" s="20">
        <f>Inputs!$B$8+Inputs!$F$34*(4/6)</f>
        <v/>
      </c>
      <c r="G10" s="20">
        <f>Inputs!$B$8+Inputs!$F$34*(5/6)</f>
        <v/>
      </c>
      <c r="H10" s="20">
        <f>Inputs!$B$8+Inputs!$F$34*(6/6)</f>
        <v/>
      </c>
    </row>
    <row r="11">
      <c r="A11" s="14" t="inlineStr">
        <is>
          <t>Seqirus OR</t>
        </is>
      </c>
      <c r="B11" s="22">
        <f>B9*B10</f>
        <v/>
      </c>
      <c r="C11" s="22">
        <f>C9*C10</f>
        <v/>
      </c>
      <c r="D11" s="22">
        <f>D9*D10</f>
        <v/>
      </c>
      <c r="E11" s="22">
        <f>E9*E10</f>
        <v/>
      </c>
      <c r="F11" s="22">
        <f>F9*F10</f>
        <v/>
      </c>
      <c r="G11" s="22">
        <f>G9*G10</f>
        <v/>
      </c>
      <c r="H11" s="22">
        <f>H9*H10</f>
        <v/>
      </c>
    </row>
    <row r="13">
      <c r="A13" s="14" t="inlineStr">
        <is>
          <t>Vifor revenue</t>
        </is>
      </c>
      <c r="B13" s="22">
        <f>Inputs!$B$5</f>
        <v/>
      </c>
      <c r="C13" s="22">
        <f>B13*(1+Inputs!$F$32)</f>
        <v/>
      </c>
      <c r="D13" s="22">
        <f>C13*(1+Inputs!$F$32)</f>
        <v/>
      </c>
      <c r="E13" s="22">
        <f>D13*(1+Inputs!$F$32)</f>
        <v/>
      </c>
      <c r="F13" s="22">
        <f>E13*(1+Inputs!$F$32)</f>
        <v/>
      </c>
      <c r="G13" s="22">
        <f>F13*(1+Inputs!$F$32)</f>
        <v/>
      </c>
      <c r="H13" s="22">
        <f>G13*(1+Inputs!$F$32)</f>
        <v/>
      </c>
    </row>
    <row r="14">
      <c r="A14" s="14" t="inlineStr">
        <is>
          <t>Vifor OR margin</t>
        </is>
      </c>
      <c r="B14" s="20">
        <f>Inputs!$B$9</f>
        <v/>
      </c>
      <c r="C14" s="20">
        <f>Inputs!$B$9+Inputs!$F$35*(1/6)</f>
        <v/>
      </c>
      <c r="D14" s="20">
        <f>Inputs!$B$9+Inputs!$F$35*(2/6)</f>
        <v/>
      </c>
      <c r="E14" s="20">
        <f>Inputs!$B$9+Inputs!$F$35*(3/6)</f>
        <v/>
      </c>
      <c r="F14" s="20">
        <f>Inputs!$B$9+Inputs!$F$35*(4/6)</f>
        <v/>
      </c>
      <c r="G14" s="20">
        <f>Inputs!$B$9+Inputs!$F$35*(5/6)</f>
        <v/>
      </c>
      <c r="H14" s="20">
        <f>Inputs!$B$9+Inputs!$F$35*(6/6)</f>
        <v/>
      </c>
    </row>
    <row r="15">
      <c r="A15" s="14" t="inlineStr">
        <is>
          <t>Vifor OR</t>
        </is>
      </c>
      <c r="B15" s="22">
        <f>B13*B14</f>
        <v/>
      </c>
      <c r="C15" s="22">
        <f>C13*C14</f>
        <v/>
      </c>
      <c r="D15" s="22">
        <f>D13*D14</f>
        <v/>
      </c>
      <c r="E15" s="22">
        <f>E13*E14</f>
        <v/>
      </c>
      <c r="F15" s="22">
        <f>F13*F14</f>
        <v/>
      </c>
      <c r="G15" s="22">
        <f>G13*G14</f>
        <v/>
      </c>
      <c r="H15" s="22">
        <f>H13*H14</f>
        <v/>
      </c>
    </row>
    <row r="17">
      <c r="A17" s="10" t="inlineStr">
        <is>
          <t>Group revenue</t>
        </is>
      </c>
      <c r="B17" s="22">
        <f>B5+B9+B13</f>
        <v/>
      </c>
      <c r="C17" s="22">
        <f>C5+C9+C13</f>
        <v/>
      </c>
      <c r="D17" s="22">
        <f>D5+D9+D13</f>
        <v/>
      </c>
      <c r="E17" s="22">
        <f>E5+E9+E13</f>
        <v/>
      </c>
      <c r="F17" s="22">
        <f>F5+F9+F13</f>
        <v/>
      </c>
      <c r="G17" s="22">
        <f>G5+G9+G13</f>
        <v/>
      </c>
      <c r="H17" s="22">
        <f>H5+H9+H13</f>
        <v/>
      </c>
    </row>
    <row r="18">
      <c r="A18" s="14" t="inlineStr">
        <is>
          <t>Segment OR (sum)</t>
        </is>
      </c>
      <c r="B18" s="22">
        <f>B7+B11+B15</f>
        <v/>
      </c>
      <c r="C18" s="22">
        <f>C7+C11+C15</f>
        <v/>
      </c>
      <c r="D18" s="22">
        <f>D7+D11+D15</f>
        <v/>
      </c>
      <c r="E18" s="22">
        <f>E7+E11+E15</f>
        <v/>
      </c>
      <c r="F18" s="22">
        <f>F7+F11+F15</f>
        <v/>
      </c>
      <c r="G18" s="22">
        <f>G7+G11+G15</f>
        <v/>
      </c>
      <c r="H18" s="22">
        <f>H7+H11+H15</f>
        <v/>
      </c>
    </row>
    <row r="19">
      <c r="A19" s="14" t="inlineStr">
        <is>
          <t>Corporate / unalloc</t>
        </is>
      </c>
      <c r="B19" s="22">
        <f>Inputs!$B$10</f>
        <v/>
      </c>
      <c r="C19" s="22">
        <f>Inputs!$B$10*(1.005^1)</f>
        <v/>
      </c>
      <c r="D19" s="22">
        <f>Inputs!$B$10*(1.005^2)</f>
        <v/>
      </c>
      <c r="E19" s="22">
        <f>Inputs!$B$10*(1.005^3)</f>
        <v/>
      </c>
      <c r="F19" s="22">
        <f>Inputs!$B$10*(1.005^4)</f>
        <v/>
      </c>
      <c r="G19" s="22">
        <f>Inputs!$B$10*(1.005^5)</f>
        <v/>
      </c>
      <c r="H19" s="22">
        <f>Inputs!$B$10*(1.005^6)</f>
        <v/>
      </c>
    </row>
    <row r="20">
      <c r="A20" s="10" t="inlineStr">
        <is>
          <t>Group EBIT</t>
        </is>
      </c>
      <c r="B20" s="22">
        <f>B18+B19</f>
        <v/>
      </c>
      <c r="C20" s="22">
        <f>C18+C19</f>
        <v/>
      </c>
      <c r="D20" s="22">
        <f>D18+D19</f>
        <v/>
      </c>
      <c r="E20" s="22">
        <f>E18+E19</f>
        <v/>
      </c>
      <c r="F20" s="22">
        <f>F18+F19</f>
        <v/>
      </c>
      <c r="G20" s="22">
        <f>G18+G19</f>
        <v/>
      </c>
      <c r="H20" s="22">
        <f>H18+H19</f>
        <v/>
      </c>
    </row>
    <row r="21">
      <c r="A21" s="14" t="inlineStr">
        <is>
          <t>Group EBIT margin (memo)</t>
        </is>
      </c>
      <c r="B21" s="20">
        <f>B20/B17</f>
        <v/>
      </c>
      <c r="C21" s="20">
        <f>C20/C17</f>
        <v/>
      </c>
      <c r="D21" s="20">
        <f>D20/D17</f>
        <v/>
      </c>
      <c r="E21" s="20">
        <f>E20/E17</f>
        <v/>
      </c>
      <c r="F21" s="20">
        <f>F20/F17</f>
        <v/>
      </c>
      <c r="G21" s="20">
        <f>G20/G17</f>
        <v/>
      </c>
      <c r="H21" s="20">
        <f>H20/H17</f>
        <v/>
      </c>
    </row>
    <row r="23">
      <c r="A23" s="14" t="inlineStr">
        <is>
          <t>NOPAT = EBIT x (1-tax)</t>
        </is>
      </c>
      <c r="C23" s="22">
        <f>C20*(1-Inputs!$F$38)</f>
        <v/>
      </c>
      <c r="D23" s="22">
        <f>D20*(1-Inputs!$F$38)</f>
        <v/>
      </c>
      <c r="E23" s="22">
        <f>E20*(1-Inputs!$F$38)</f>
        <v/>
      </c>
      <c r="F23" s="22">
        <f>F20*(1-Inputs!$F$38)</f>
        <v/>
      </c>
      <c r="G23" s="22">
        <f>G20*(1-Inputs!$F$38)</f>
        <v/>
      </c>
      <c r="H23" s="22">
        <f>H20*(1-Inputs!$F$38)</f>
        <v/>
      </c>
    </row>
    <row r="24">
      <c r="A24" s="14" t="inlineStr">
        <is>
          <t>Plus: D&amp;A</t>
        </is>
      </c>
      <c r="C24" s="22">
        <f>C17*Inputs!$B$12</f>
        <v/>
      </c>
      <c r="D24" s="22">
        <f>D17*Inputs!$B$12</f>
        <v/>
      </c>
      <c r="E24" s="22">
        <f>E17*Inputs!$B$12</f>
        <v/>
      </c>
      <c r="F24" s="22">
        <f>F17*Inputs!$B$12</f>
        <v/>
      </c>
      <c r="G24" s="22">
        <f>G17*Inputs!$B$12</f>
        <v/>
      </c>
      <c r="H24" s="22">
        <f>H17*Inputs!$B$12</f>
        <v/>
      </c>
    </row>
    <row r="25">
      <c r="A25" s="14" t="inlineStr">
        <is>
          <t>Less: capex</t>
        </is>
      </c>
      <c r="C25" s="22">
        <f>-C17*Inputs!$B$11</f>
        <v/>
      </c>
      <c r="D25" s="22">
        <f>-D17*Inputs!$B$11</f>
        <v/>
      </c>
      <c r="E25" s="22">
        <f>-E17*Inputs!$B$11</f>
        <v/>
      </c>
      <c r="F25" s="22">
        <f>-F17*Inputs!$B$11</f>
        <v/>
      </c>
      <c r="G25" s="22">
        <f>-G17*Inputs!$B$11</f>
        <v/>
      </c>
      <c r="H25" s="22">
        <f>-H17*Inputs!$B$11</f>
        <v/>
      </c>
    </row>
    <row r="26">
      <c r="A26" s="14" t="inlineStr">
        <is>
          <t>Less: WC change</t>
        </is>
      </c>
      <c r="C26" s="22">
        <f>-(C17-B17)*Inputs!$B$13</f>
        <v/>
      </c>
      <c r="D26" s="22">
        <f>-(D17-C17)*Inputs!$B$13</f>
        <v/>
      </c>
      <c r="E26" s="22">
        <f>-(E17-D17)*Inputs!$B$13</f>
        <v/>
      </c>
      <c r="F26" s="22">
        <f>-(F17-E17)*Inputs!$B$13</f>
        <v/>
      </c>
      <c r="G26" s="22">
        <f>-(G17-F17)*Inputs!$B$13</f>
        <v/>
      </c>
      <c r="H26" s="22">
        <f>-(H17-G17)*Inputs!$B$13</f>
        <v/>
      </c>
    </row>
    <row r="27">
      <c r="A27" s="10" t="inlineStr">
        <is>
          <t>FCFF</t>
        </is>
      </c>
      <c r="C27" s="22">
        <f>C23+C24+C25+C26</f>
        <v/>
      </c>
      <c r="D27" s="22">
        <f>D23+D24+D25+D26</f>
        <v/>
      </c>
      <c r="E27" s="22">
        <f>E23+E24+E25+E26</f>
        <v/>
      </c>
      <c r="F27" s="22">
        <f>F23+F24+F25+F26</f>
        <v/>
      </c>
      <c r="G27" s="22">
        <f>G23+G24+G25+G26</f>
        <v/>
      </c>
      <c r="H27" s="22">
        <f>H23+H24+H25+H26</f>
        <v/>
      </c>
    </row>
    <row r="28">
      <c r="A28" s="14" t="inlineStr">
        <is>
          <t>Mid-period t (FY26 excl.)</t>
        </is>
      </c>
      <c r="C28" s="23" t="n">
        <v>0</v>
      </c>
      <c r="D28" s="23" t="n">
        <v>0.5</v>
      </c>
      <c r="E28" s="23" t="n">
        <v>1.5</v>
      </c>
      <c r="F28" s="23" t="n">
        <v>2.5</v>
      </c>
      <c r="G28" s="23" t="n">
        <v>3.5</v>
      </c>
      <c r="H28" s="23" t="n">
        <v>4.5</v>
      </c>
    </row>
    <row r="29">
      <c r="A29" s="14" t="inlineStr">
        <is>
          <t>Discount factor</t>
        </is>
      </c>
      <c r="C29" s="24">
        <f>1/(1+Inputs!$B$22)^C28</f>
        <v/>
      </c>
      <c r="D29" s="24">
        <f>1/(1+Inputs!$B$22)^D28</f>
        <v/>
      </c>
      <c r="E29" s="24">
        <f>1/(1+Inputs!$B$22)^E28</f>
        <v/>
      </c>
      <c r="F29" s="24">
        <f>1/(1+Inputs!$B$22)^F28</f>
        <v/>
      </c>
      <c r="G29" s="24">
        <f>1/(1+Inputs!$B$22)^G28</f>
        <v/>
      </c>
      <c r="H29" s="24">
        <f>1/(1+Inputs!$B$22)^H28</f>
        <v/>
      </c>
    </row>
    <row r="30">
      <c r="A30" s="14" t="inlineStr">
        <is>
          <t>PV of FCFF (FY27–FY31)</t>
        </is>
      </c>
      <c r="C30" s="22" t="n">
        <v>0</v>
      </c>
      <c r="D30" s="22">
        <f>D27*D29</f>
        <v/>
      </c>
      <c r="E30" s="22">
        <f>E27*E29</f>
        <v/>
      </c>
      <c r="F30" s="22">
        <f>F27*F29</f>
        <v/>
      </c>
      <c r="G30" s="22">
        <f>G27*G29</f>
        <v/>
      </c>
      <c r="H30" s="22">
        <f>H27*H29</f>
        <v/>
      </c>
    </row>
    <row r="32">
      <c r="A32" s="10" t="inlineStr">
        <is>
          <t>Sum explicit PV (FY27–FY31)</t>
        </is>
      </c>
      <c r="C32" s="22">
        <f>SUM(D30:H30)</f>
        <v/>
      </c>
    </row>
    <row r="33">
      <c r="A33" s="14" t="inlineStr">
        <is>
          <t>Terminal FCFF (FY31 normalised)</t>
        </is>
      </c>
      <c r="C33" s="22">
        <f>(H17*Inputs!$F$36*(1-Inputs!$F$38)+H17*Inputs!$B$12-H17*Inputs!$B$11-H17*Inputs!$F$37*Inputs!$B$13)*(1+Inputs!$F$37)</f>
        <v/>
      </c>
    </row>
    <row r="34">
      <c r="A34" s="14" t="inlineStr">
        <is>
          <t>Terminal value (Gordon)</t>
        </is>
      </c>
      <c r="C34" s="22">
        <f>C33/(Inputs!$B$22-Inputs!$F$37)</f>
        <v/>
      </c>
    </row>
    <row r="35">
      <c r="A35" s="14" t="inlineStr">
        <is>
          <t>Discount factor t=5</t>
        </is>
      </c>
      <c r="C35" s="24">
        <f>1/(1+Inputs!$B$22)^5</f>
        <v/>
      </c>
    </row>
    <row r="36">
      <c r="A36" s="14" t="inlineStr">
        <is>
          <t>PV of terminal value</t>
        </is>
      </c>
      <c r="C36" s="22">
        <f>C34*C35</f>
        <v/>
      </c>
    </row>
    <row r="37">
      <c r="A37" s="10" t="inlineStr">
        <is>
          <t>Enterprise value</t>
        </is>
      </c>
      <c r="C37" s="22">
        <f>C32+C36</f>
        <v/>
      </c>
    </row>
    <row r="38">
      <c r="A38" s="14" t="inlineStr">
        <is>
          <t>Less: net debt</t>
        </is>
      </c>
      <c r="C38" s="22">
        <f>-Inputs!$B$17</f>
        <v/>
      </c>
    </row>
    <row r="39">
      <c r="A39" s="14" t="inlineStr">
        <is>
          <t>Less: restructuring cash</t>
        </is>
      </c>
      <c r="C39" s="22">
        <f>-Inputs!$B$18</f>
        <v/>
      </c>
    </row>
    <row r="40">
      <c r="A40" s="10" t="inlineStr">
        <is>
          <t>Equity value</t>
        </is>
      </c>
      <c r="C40" s="22">
        <f>C37+C38+C39</f>
        <v/>
      </c>
    </row>
    <row r="41">
      <c r="A41" s="14" t="inlineStr">
        <is>
          <t>Shares (m)</t>
        </is>
      </c>
      <c r="C41" s="22">
        <f>Inputs!$B$19</f>
        <v/>
      </c>
    </row>
    <row r="42">
      <c r="A42" s="10" t="inlineStr">
        <is>
          <t>Value per share (USD)</t>
        </is>
      </c>
      <c r="C42" s="11">
        <f>C40/C41</f>
        <v/>
      </c>
    </row>
    <row r="43">
      <c r="A43" s="10" t="inlineStr">
        <is>
          <t>Value per share (AUD)</t>
        </is>
      </c>
      <c r="C43" s="11">
        <f>C42*Inputs!$B$20</f>
        <v/>
      </c>
    </row>
    <row r="44">
      <c r="A44" s="14" t="inlineStr">
        <is>
          <t>Terminal % of EV (memo)</t>
        </is>
      </c>
      <c r="C44" s="25">
        <f>C36/C37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Fragmentation — segment DCF (USD m)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3">
      <c r="A3" s="14" t="inlineStr">
        <is>
          <t>Line</t>
        </is>
      </c>
      <c r="B3" s="10" t="inlineStr">
        <is>
          <t>FY25</t>
        </is>
      </c>
      <c r="C3" s="10" t="inlineStr">
        <is>
          <t>FY26</t>
        </is>
      </c>
      <c r="D3" s="10" t="inlineStr">
        <is>
          <t>FY27</t>
        </is>
      </c>
      <c r="E3" s="10" t="inlineStr">
        <is>
          <t>FY28</t>
        </is>
      </c>
      <c r="F3" s="10" t="inlineStr">
        <is>
          <t>FY29</t>
        </is>
      </c>
      <c r="G3" s="10" t="inlineStr">
        <is>
          <t>FY30</t>
        </is>
      </c>
      <c r="H3" s="10" t="inlineStr">
        <is>
          <t>FY31</t>
        </is>
      </c>
    </row>
    <row r="5">
      <c r="A5" s="14" t="inlineStr">
        <is>
          <t>Behring revenue</t>
        </is>
      </c>
      <c r="B5" s="22">
        <f>Inputs!$B$3</f>
        <v/>
      </c>
      <c r="C5" s="22">
        <f>B5*(1+Inputs!$G$25)</f>
        <v/>
      </c>
      <c r="D5" s="22">
        <f>C5*(1+Inputs!$G$26)</f>
        <v/>
      </c>
      <c r="E5" s="22">
        <f>D5*(1+Inputs!$G$27)</f>
        <v/>
      </c>
      <c r="F5" s="22">
        <f>E5*(1+Inputs!$G$28)</f>
        <v/>
      </c>
      <c r="G5" s="22">
        <f>F5*(1+Inputs!$G$29)</f>
        <v/>
      </c>
      <c r="H5" s="22">
        <f>G5*(1+Inputs!$G$30)</f>
        <v/>
      </c>
    </row>
    <row r="6">
      <c r="A6" s="14" t="inlineStr">
        <is>
          <t>Behring OR margin</t>
        </is>
      </c>
      <c r="B6" s="20">
        <f>Inputs!$B$7</f>
        <v/>
      </c>
      <c r="C6" s="20">
        <f>Inputs!$B$7+Inputs!$G$33*(1/6)</f>
        <v/>
      </c>
      <c r="D6" s="20">
        <f>Inputs!$B$7+Inputs!$G$33*(2/6)</f>
        <v/>
      </c>
      <c r="E6" s="20">
        <f>Inputs!$B$7+Inputs!$G$33*(3/6)</f>
        <v/>
      </c>
      <c r="F6" s="20">
        <f>Inputs!$B$7+Inputs!$G$33*(4/6)</f>
        <v/>
      </c>
      <c r="G6" s="20">
        <f>Inputs!$B$7+Inputs!$G$33*(5/6)</f>
        <v/>
      </c>
      <c r="H6" s="20">
        <f>Inputs!$B$7+Inputs!$G$33*(6/6)</f>
        <v/>
      </c>
    </row>
    <row r="7">
      <c r="A7" s="14" t="inlineStr">
        <is>
          <t>Behring OR</t>
        </is>
      </c>
      <c r="B7" s="22">
        <f>B5*B6</f>
        <v/>
      </c>
      <c r="C7" s="22">
        <f>C5*C6</f>
        <v/>
      </c>
      <c r="D7" s="22">
        <f>D5*D6</f>
        <v/>
      </c>
      <c r="E7" s="22">
        <f>E5*E6</f>
        <v/>
      </c>
      <c r="F7" s="22">
        <f>F5*F6</f>
        <v/>
      </c>
      <c r="G7" s="22">
        <f>G5*G6</f>
        <v/>
      </c>
      <c r="H7" s="22">
        <f>H5*H6</f>
        <v/>
      </c>
    </row>
    <row r="9">
      <c r="A9" s="14" t="inlineStr">
        <is>
          <t>Seqirus revenue</t>
        </is>
      </c>
      <c r="B9" s="22">
        <f>Inputs!$B$4</f>
        <v/>
      </c>
      <c r="C9" s="22">
        <f>B9*(1+Inputs!$G$31)</f>
        <v/>
      </c>
      <c r="D9" s="22">
        <f>C9*(1+Inputs!$G$31)</f>
        <v/>
      </c>
      <c r="E9" s="22">
        <f>D9*(1+Inputs!$G$31)</f>
        <v/>
      </c>
      <c r="F9" s="22">
        <f>E9*(1+Inputs!$G$31)</f>
        <v/>
      </c>
      <c r="G9" s="22">
        <f>F9*(1+Inputs!$G$31)</f>
        <v/>
      </c>
      <c r="H9" s="22">
        <f>G9*(1+Inputs!$G$31)</f>
        <v/>
      </c>
    </row>
    <row r="10">
      <c r="A10" s="14" t="inlineStr">
        <is>
          <t>Seqirus OR margin</t>
        </is>
      </c>
      <c r="B10" s="20">
        <f>Inputs!$B$8</f>
        <v/>
      </c>
      <c r="C10" s="20">
        <f>Inputs!$B$8+Inputs!$G$34*(1/6)</f>
        <v/>
      </c>
      <c r="D10" s="20">
        <f>Inputs!$B$8+Inputs!$G$34*(2/6)</f>
        <v/>
      </c>
      <c r="E10" s="20">
        <f>Inputs!$B$8+Inputs!$G$34*(3/6)</f>
        <v/>
      </c>
      <c r="F10" s="20">
        <f>Inputs!$B$8+Inputs!$G$34*(4/6)</f>
        <v/>
      </c>
      <c r="G10" s="20">
        <f>Inputs!$B$8+Inputs!$G$34*(5/6)</f>
        <v/>
      </c>
      <c r="H10" s="20">
        <f>Inputs!$B$8+Inputs!$G$34*(6/6)</f>
        <v/>
      </c>
    </row>
    <row r="11">
      <c r="A11" s="14" t="inlineStr">
        <is>
          <t>Seqirus OR</t>
        </is>
      </c>
      <c r="B11" s="22">
        <f>B9*B10</f>
        <v/>
      </c>
      <c r="C11" s="22">
        <f>C9*C10</f>
        <v/>
      </c>
      <c r="D11" s="22">
        <f>D9*D10</f>
        <v/>
      </c>
      <c r="E11" s="22">
        <f>E9*E10</f>
        <v/>
      </c>
      <c r="F11" s="22">
        <f>F9*F10</f>
        <v/>
      </c>
      <c r="G11" s="22">
        <f>G9*G10</f>
        <v/>
      </c>
      <c r="H11" s="22">
        <f>H9*H10</f>
        <v/>
      </c>
    </row>
    <row r="13">
      <c r="A13" s="14" t="inlineStr">
        <is>
          <t>Vifor revenue</t>
        </is>
      </c>
      <c r="B13" s="22">
        <f>Inputs!$B$5</f>
        <v/>
      </c>
      <c r="C13" s="22">
        <f>B13*(1+Inputs!$G$32)</f>
        <v/>
      </c>
      <c r="D13" s="22">
        <f>C13*(1+Inputs!$G$32)</f>
        <v/>
      </c>
      <c r="E13" s="22">
        <f>D13*(1+Inputs!$G$32)</f>
        <v/>
      </c>
      <c r="F13" s="22">
        <f>E13*(1+Inputs!$G$32)</f>
        <v/>
      </c>
      <c r="G13" s="22">
        <f>F13*(1+Inputs!$G$32)</f>
        <v/>
      </c>
      <c r="H13" s="22">
        <f>G13*(1+Inputs!$G$32)</f>
        <v/>
      </c>
    </row>
    <row r="14">
      <c r="A14" s="14" t="inlineStr">
        <is>
          <t>Vifor OR margin</t>
        </is>
      </c>
      <c r="B14" s="20">
        <f>Inputs!$B$9</f>
        <v/>
      </c>
      <c r="C14" s="20">
        <f>Inputs!$B$9+Inputs!$G$35*(1/6)</f>
        <v/>
      </c>
      <c r="D14" s="20">
        <f>Inputs!$B$9+Inputs!$G$35*(2/6)</f>
        <v/>
      </c>
      <c r="E14" s="20">
        <f>Inputs!$B$9+Inputs!$G$35*(3/6)</f>
        <v/>
      </c>
      <c r="F14" s="20">
        <f>Inputs!$B$9+Inputs!$G$35*(4/6)</f>
        <v/>
      </c>
      <c r="G14" s="20">
        <f>Inputs!$B$9+Inputs!$G$35*(5/6)</f>
        <v/>
      </c>
      <c r="H14" s="20">
        <f>Inputs!$B$9+Inputs!$G$35*(6/6)</f>
        <v/>
      </c>
    </row>
    <row r="15">
      <c r="A15" s="14" t="inlineStr">
        <is>
          <t>Vifor OR</t>
        </is>
      </c>
      <c r="B15" s="22">
        <f>B13*B14</f>
        <v/>
      </c>
      <c r="C15" s="22">
        <f>C13*C14</f>
        <v/>
      </c>
      <c r="D15" s="22">
        <f>D13*D14</f>
        <v/>
      </c>
      <c r="E15" s="22">
        <f>E13*E14</f>
        <v/>
      </c>
      <c r="F15" s="22">
        <f>F13*F14</f>
        <v/>
      </c>
      <c r="G15" s="22">
        <f>G13*G14</f>
        <v/>
      </c>
      <c r="H15" s="22">
        <f>H13*H14</f>
        <v/>
      </c>
    </row>
    <row r="17">
      <c r="A17" s="10" t="inlineStr">
        <is>
          <t>Group revenue</t>
        </is>
      </c>
      <c r="B17" s="22">
        <f>B5+B9+B13</f>
        <v/>
      </c>
      <c r="C17" s="22">
        <f>C5+C9+C13</f>
        <v/>
      </c>
      <c r="D17" s="22">
        <f>D5+D9+D13</f>
        <v/>
      </c>
      <c r="E17" s="22">
        <f>E5+E9+E13</f>
        <v/>
      </c>
      <c r="F17" s="22">
        <f>F5+F9+F13</f>
        <v/>
      </c>
      <c r="G17" s="22">
        <f>G5+G9+G13</f>
        <v/>
      </c>
      <c r="H17" s="22">
        <f>H5+H9+H13</f>
        <v/>
      </c>
    </row>
    <row r="18">
      <c r="A18" s="14" t="inlineStr">
        <is>
          <t>Segment OR (sum)</t>
        </is>
      </c>
      <c r="B18" s="22">
        <f>B7+B11+B15</f>
        <v/>
      </c>
      <c r="C18" s="22">
        <f>C7+C11+C15</f>
        <v/>
      </c>
      <c r="D18" s="22">
        <f>D7+D11+D15</f>
        <v/>
      </c>
      <c r="E18" s="22">
        <f>E7+E11+E15</f>
        <v/>
      </c>
      <c r="F18" s="22">
        <f>F7+F11+F15</f>
        <v/>
      </c>
      <c r="G18" s="22">
        <f>G7+G11+G15</f>
        <v/>
      </c>
      <c r="H18" s="22">
        <f>H7+H11+H15</f>
        <v/>
      </c>
    </row>
    <row r="19">
      <c r="A19" s="14" t="inlineStr">
        <is>
          <t>Corporate / unalloc</t>
        </is>
      </c>
      <c r="B19" s="22">
        <f>Inputs!$B$10</f>
        <v/>
      </c>
      <c r="C19" s="22">
        <f>Inputs!$B$10*(1.005^1)</f>
        <v/>
      </c>
      <c r="D19" s="22">
        <f>Inputs!$B$10*(1.005^2)</f>
        <v/>
      </c>
      <c r="E19" s="22">
        <f>Inputs!$B$10*(1.005^3)</f>
        <v/>
      </c>
      <c r="F19" s="22">
        <f>Inputs!$B$10*(1.005^4)</f>
        <v/>
      </c>
      <c r="G19" s="22">
        <f>Inputs!$B$10*(1.005^5)</f>
        <v/>
      </c>
      <c r="H19" s="22">
        <f>Inputs!$B$10*(1.005^6)</f>
        <v/>
      </c>
    </row>
    <row r="20">
      <c r="A20" s="10" t="inlineStr">
        <is>
          <t>Group EBIT</t>
        </is>
      </c>
      <c r="B20" s="22">
        <f>B18+B19</f>
        <v/>
      </c>
      <c r="C20" s="22">
        <f>C18+C19</f>
        <v/>
      </c>
      <c r="D20" s="22">
        <f>D18+D19</f>
        <v/>
      </c>
      <c r="E20" s="22">
        <f>E18+E19</f>
        <v/>
      </c>
      <c r="F20" s="22">
        <f>F18+F19</f>
        <v/>
      </c>
      <c r="G20" s="22">
        <f>G18+G19</f>
        <v/>
      </c>
      <c r="H20" s="22">
        <f>H18+H19</f>
        <v/>
      </c>
    </row>
    <row r="21">
      <c r="A21" s="14" t="inlineStr">
        <is>
          <t>Group EBIT margin (memo)</t>
        </is>
      </c>
      <c r="B21" s="20">
        <f>B20/B17</f>
        <v/>
      </c>
      <c r="C21" s="20">
        <f>C20/C17</f>
        <v/>
      </c>
      <c r="D21" s="20">
        <f>D20/D17</f>
        <v/>
      </c>
      <c r="E21" s="20">
        <f>E20/E17</f>
        <v/>
      </c>
      <c r="F21" s="20">
        <f>F20/F17</f>
        <v/>
      </c>
      <c r="G21" s="20">
        <f>G20/G17</f>
        <v/>
      </c>
      <c r="H21" s="20">
        <f>H20/H17</f>
        <v/>
      </c>
    </row>
    <row r="23">
      <c r="A23" s="14" t="inlineStr">
        <is>
          <t>NOPAT = EBIT x (1-tax)</t>
        </is>
      </c>
      <c r="C23" s="22">
        <f>C20*(1-Inputs!$G$38)</f>
        <v/>
      </c>
      <c r="D23" s="22">
        <f>D20*(1-Inputs!$G$38)</f>
        <v/>
      </c>
      <c r="E23" s="22">
        <f>E20*(1-Inputs!$G$38)</f>
        <v/>
      </c>
      <c r="F23" s="22">
        <f>F20*(1-Inputs!$G$38)</f>
        <v/>
      </c>
      <c r="G23" s="22">
        <f>G20*(1-Inputs!$G$38)</f>
        <v/>
      </c>
      <c r="H23" s="22">
        <f>H20*(1-Inputs!$G$38)</f>
        <v/>
      </c>
    </row>
    <row r="24">
      <c r="A24" s="14" t="inlineStr">
        <is>
          <t>Plus: D&amp;A</t>
        </is>
      </c>
      <c r="C24" s="22">
        <f>C17*Inputs!$B$12</f>
        <v/>
      </c>
      <c r="D24" s="22">
        <f>D17*Inputs!$B$12</f>
        <v/>
      </c>
      <c r="E24" s="22">
        <f>E17*Inputs!$B$12</f>
        <v/>
      </c>
      <c r="F24" s="22">
        <f>F17*Inputs!$B$12</f>
        <v/>
      </c>
      <c r="G24" s="22">
        <f>G17*Inputs!$B$12</f>
        <v/>
      </c>
      <c r="H24" s="22">
        <f>H17*Inputs!$B$12</f>
        <v/>
      </c>
    </row>
    <row r="25">
      <c r="A25" s="14" t="inlineStr">
        <is>
          <t>Less: capex</t>
        </is>
      </c>
      <c r="C25" s="22">
        <f>-C17*Inputs!$B$11</f>
        <v/>
      </c>
      <c r="D25" s="22">
        <f>-D17*Inputs!$B$11</f>
        <v/>
      </c>
      <c r="E25" s="22">
        <f>-E17*Inputs!$B$11</f>
        <v/>
      </c>
      <c r="F25" s="22">
        <f>-F17*Inputs!$B$11</f>
        <v/>
      </c>
      <c r="G25" s="22">
        <f>-G17*Inputs!$B$11</f>
        <v/>
      </c>
      <c r="H25" s="22">
        <f>-H17*Inputs!$B$11</f>
        <v/>
      </c>
    </row>
    <row r="26">
      <c r="A26" s="14" t="inlineStr">
        <is>
          <t>Less: WC change</t>
        </is>
      </c>
      <c r="C26" s="22">
        <f>-(C17-B17)*Inputs!$B$13</f>
        <v/>
      </c>
      <c r="D26" s="22">
        <f>-(D17-C17)*Inputs!$B$13</f>
        <v/>
      </c>
      <c r="E26" s="22">
        <f>-(E17-D17)*Inputs!$B$13</f>
        <v/>
      </c>
      <c r="F26" s="22">
        <f>-(F17-E17)*Inputs!$B$13</f>
        <v/>
      </c>
      <c r="G26" s="22">
        <f>-(G17-F17)*Inputs!$B$13</f>
        <v/>
      </c>
      <c r="H26" s="22">
        <f>-(H17-G17)*Inputs!$B$13</f>
        <v/>
      </c>
    </row>
    <row r="27">
      <c r="A27" s="10" t="inlineStr">
        <is>
          <t>FCFF</t>
        </is>
      </c>
      <c r="C27" s="22">
        <f>C23+C24+C25+C26</f>
        <v/>
      </c>
      <c r="D27" s="22">
        <f>D23+D24+D25+D26</f>
        <v/>
      </c>
      <c r="E27" s="22">
        <f>E23+E24+E25+E26</f>
        <v/>
      </c>
      <c r="F27" s="22">
        <f>F23+F24+F25+F26</f>
        <v/>
      </c>
      <c r="G27" s="22">
        <f>G23+G24+G25+G26</f>
        <v/>
      </c>
      <c r="H27" s="22">
        <f>H23+H24+H25+H26</f>
        <v/>
      </c>
    </row>
    <row r="28">
      <c r="A28" s="14" t="inlineStr">
        <is>
          <t>Mid-period t (FY26 excl.)</t>
        </is>
      </c>
      <c r="C28" s="23" t="n">
        <v>0</v>
      </c>
      <c r="D28" s="23" t="n">
        <v>0.5</v>
      </c>
      <c r="E28" s="23" t="n">
        <v>1.5</v>
      </c>
      <c r="F28" s="23" t="n">
        <v>2.5</v>
      </c>
      <c r="G28" s="23" t="n">
        <v>3.5</v>
      </c>
      <c r="H28" s="23" t="n">
        <v>4.5</v>
      </c>
    </row>
    <row r="29">
      <c r="A29" s="14" t="inlineStr">
        <is>
          <t>Discount factor</t>
        </is>
      </c>
      <c r="C29" s="24">
        <f>1/(1+Inputs!$B$22)^C28</f>
        <v/>
      </c>
      <c r="D29" s="24">
        <f>1/(1+Inputs!$B$22)^D28</f>
        <v/>
      </c>
      <c r="E29" s="24">
        <f>1/(1+Inputs!$B$22)^E28</f>
        <v/>
      </c>
      <c r="F29" s="24">
        <f>1/(1+Inputs!$B$22)^F28</f>
        <v/>
      </c>
      <c r="G29" s="24">
        <f>1/(1+Inputs!$B$22)^G28</f>
        <v/>
      </c>
      <c r="H29" s="24">
        <f>1/(1+Inputs!$B$22)^H28</f>
        <v/>
      </c>
    </row>
    <row r="30">
      <c r="A30" s="14" t="inlineStr">
        <is>
          <t>PV of FCFF (FY27–FY31)</t>
        </is>
      </c>
      <c r="C30" s="22" t="n">
        <v>0</v>
      </c>
      <c r="D30" s="22">
        <f>D27*D29</f>
        <v/>
      </c>
      <c r="E30" s="22">
        <f>E27*E29</f>
        <v/>
      </c>
      <c r="F30" s="22">
        <f>F27*F29</f>
        <v/>
      </c>
      <c r="G30" s="22">
        <f>G27*G29</f>
        <v/>
      </c>
      <c r="H30" s="22">
        <f>H27*H29</f>
        <v/>
      </c>
    </row>
    <row r="32">
      <c r="A32" s="10" t="inlineStr">
        <is>
          <t>Sum explicit PV (FY27–FY31)</t>
        </is>
      </c>
      <c r="C32" s="22">
        <f>SUM(D30:H30)</f>
        <v/>
      </c>
    </row>
    <row r="33">
      <c r="A33" s="14" t="inlineStr">
        <is>
          <t>Terminal FCFF (FY31 normalised)</t>
        </is>
      </c>
      <c r="C33" s="22">
        <f>(H17*Inputs!$G$36*(1-Inputs!$G$38)+H17*Inputs!$B$12-H17*Inputs!$B$11-H17*Inputs!$G$37*Inputs!$B$13)*(1+Inputs!$G$37)</f>
        <v/>
      </c>
    </row>
    <row r="34">
      <c r="A34" s="14" t="inlineStr">
        <is>
          <t>Terminal value (Gordon)</t>
        </is>
      </c>
      <c r="C34" s="22">
        <f>C33/(Inputs!$B$22-Inputs!$G$37)</f>
        <v/>
      </c>
    </row>
    <row r="35">
      <c r="A35" s="14" t="inlineStr">
        <is>
          <t>Discount factor t=5</t>
        </is>
      </c>
      <c r="C35" s="24">
        <f>1/(1+Inputs!$B$22)^5</f>
        <v/>
      </c>
    </row>
    <row r="36">
      <c r="A36" s="14" t="inlineStr">
        <is>
          <t>PV of terminal value</t>
        </is>
      </c>
      <c r="C36" s="22">
        <f>C34*C35</f>
        <v/>
      </c>
    </row>
    <row r="37">
      <c r="A37" s="10" t="inlineStr">
        <is>
          <t>Enterprise value</t>
        </is>
      </c>
      <c r="C37" s="22">
        <f>C32+C36</f>
        <v/>
      </c>
    </row>
    <row r="38">
      <c r="A38" s="14" t="inlineStr">
        <is>
          <t>Less: net debt</t>
        </is>
      </c>
      <c r="C38" s="22">
        <f>-Inputs!$B$17</f>
        <v/>
      </c>
    </row>
    <row r="39">
      <c r="A39" s="14" t="inlineStr">
        <is>
          <t>Less: restructuring cash</t>
        </is>
      </c>
      <c r="C39" s="22">
        <f>-Inputs!$B$18</f>
        <v/>
      </c>
    </row>
    <row r="40">
      <c r="A40" s="10" t="inlineStr">
        <is>
          <t>Equity value</t>
        </is>
      </c>
      <c r="C40" s="22">
        <f>C37+C38+C39</f>
        <v/>
      </c>
    </row>
    <row r="41">
      <c r="A41" s="14" t="inlineStr">
        <is>
          <t>Shares (m)</t>
        </is>
      </c>
      <c r="C41" s="22">
        <f>Inputs!$B$19</f>
        <v/>
      </c>
    </row>
    <row r="42">
      <c r="A42" s="10" t="inlineStr">
        <is>
          <t>Value per share (USD)</t>
        </is>
      </c>
      <c r="C42" s="11">
        <f>C40/C41</f>
        <v/>
      </c>
    </row>
    <row r="43">
      <c r="A43" s="10" t="inlineStr">
        <is>
          <t>Value per share (AUD)</t>
        </is>
      </c>
      <c r="C43" s="11">
        <f>C42*Inputs!$B$20</f>
        <v/>
      </c>
    </row>
    <row r="44">
      <c r="A44" s="14" t="inlineStr">
        <is>
          <t>Terminal % of EV (memo)</t>
        </is>
      </c>
      <c r="C44" s="25">
        <f>C36/C37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Stagflation Persists — segment DCF (USD m)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3">
      <c r="A3" s="14" t="inlineStr">
        <is>
          <t>Line</t>
        </is>
      </c>
      <c r="B3" s="10" t="inlineStr">
        <is>
          <t>FY25</t>
        </is>
      </c>
      <c r="C3" s="10" t="inlineStr">
        <is>
          <t>FY26</t>
        </is>
      </c>
      <c r="D3" s="10" t="inlineStr">
        <is>
          <t>FY27</t>
        </is>
      </c>
      <c r="E3" s="10" t="inlineStr">
        <is>
          <t>FY28</t>
        </is>
      </c>
      <c r="F3" s="10" t="inlineStr">
        <is>
          <t>FY29</t>
        </is>
      </c>
      <c r="G3" s="10" t="inlineStr">
        <is>
          <t>FY30</t>
        </is>
      </c>
      <c r="H3" s="10" t="inlineStr">
        <is>
          <t>FY31</t>
        </is>
      </c>
    </row>
    <row r="5">
      <c r="A5" s="14" t="inlineStr">
        <is>
          <t>Behring revenue</t>
        </is>
      </c>
      <c r="B5" s="22">
        <f>Inputs!$B$3</f>
        <v/>
      </c>
      <c r="C5" s="22">
        <f>B5*(1+Inputs!$H$25)</f>
        <v/>
      </c>
      <c r="D5" s="22">
        <f>C5*(1+Inputs!$H$26)</f>
        <v/>
      </c>
      <c r="E5" s="22">
        <f>D5*(1+Inputs!$H$27)</f>
        <v/>
      </c>
      <c r="F5" s="22">
        <f>E5*(1+Inputs!$H$28)</f>
        <v/>
      </c>
      <c r="G5" s="22">
        <f>F5*(1+Inputs!$H$29)</f>
        <v/>
      </c>
      <c r="H5" s="22">
        <f>G5*(1+Inputs!$H$30)</f>
        <v/>
      </c>
    </row>
    <row r="6">
      <c r="A6" s="14" t="inlineStr">
        <is>
          <t>Behring OR margin</t>
        </is>
      </c>
      <c r="B6" s="20">
        <f>Inputs!$B$7</f>
        <v/>
      </c>
      <c r="C6" s="20">
        <f>Inputs!$B$7+Inputs!$H$33*(1/6)</f>
        <v/>
      </c>
      <c r="D6" s="20">
        <f>Inputs!$B$7+Inputs!$H$33*(2/6)</f>
        <v/>
      </c>
      <c r="E6" s="20">
        <f>Inputs!$B$7+Inputs!$H$33*(3/6)</f>
        <v/>
      </c>
      <c r="F6" s="20">
        <f>Inputs!$B$7+Inputs!$H$33*(4/6)</f>
        <v/>
      </c>
      <c r="G6" s="20">
        <f>Inputs!$B$7+Inputs!$H$33*(5/6)</f>
        <v/>
      </c>
      <c r="H6" s="20">
        <f>Inputs!$B$7+Inputs!$H$33*(6/6)</f>
        <v/>
      </c>
    </row>
    <row r="7">
      <c r="A7" s="14" t="inlineStr">
        <is>
          <t>Behring OR</t>
        </is>
      </c>
      <c r="B7" s="22">
        <f>B5*B6</f>
        <v/>
      </c>
      <c r="C7" s="22">
        <f>C5*C6</f>
        <v/>
      </c>
      <c r="D7" s="22">
        <f>D5*D6</f>
        <v/>
      </c>
      <c r="E7" s="22">
        <f>E5*E6</f>
        <v/>
      </c>
      <c r="F7" s="22">
        <f>F5*F6</f>
        <v/>
      </c>
      <c r="G7" s="22">
        <f>G5*G6</f>
        <v/>
      </c>
      <c r="H7" s="22">
        <f>H5*H6</f>
        <v/>
      </c>
    </row>
    <row r="9">
      <c r="A9" s="14" t="inlineStr">
        <is>
          <t>Seqirus revenue</t>
        </is>
      </c>
      <c r="B9" s="22">
        <f>Inputs!$B$4</f>
        <v/>
      </c>
      <c r="C9" s="22">
        <f>B9*(1+Inputs!$H$31)</f>
        <v/>
      </c>
      <c r="D9" s="22">
        <f>C9*(1+Inputs!$H$31)</f>
        <v/>
      </c>
      <c r="E9" s="22">
        <f>D9*(1+Inputs!$H$31)</f>
        <v/>
      </c>
      <c r="F9" s="22">
        <f>E9*(1+Inputs!$H$31)</f>
        <v/>
      </c>
      <c r="G9" s="22">
        <f>F9*(1+Inputs!$H$31)</f>
        <v/>
      </c>
      <c r="H9" s="22">
        <f>G9*(1+Inputs!$H$31)</f>
        <v/>
      </c>
    </row>
    <row r="10">
      <c r="A10" s="14" t="inlineStr">
        <is>
          <t>Seqirus OR margin</t>
        </is>
      </c>
      <c r="B10" s="20">
        <f>Inputs!$B$8</f>
        <v/>
      </c>
      <c r="C10" s="20">
        <f>Inputs!$B$8+Inputs!$H$34*(1/6)</f>
        <v/>
      </c>
      <c r="D10" s="20">
        <f>Inputs!$B$8+Inputs!$H$34*(2/6)</f>
        <v/>
      </c>
      <c r="E10" s="20">
        <f>Inputs!$B$8+Inputs!$H$34*(3/6)</f>
        <v/>
      </c>
      <c r="F10" s="20">
        <f>Inputs!$B$8+Inputs!$H$34*(4/6)</f>
        <v/>
      </c>
      <c r="G10" s="20">
        <f>Inputs!$B$8+Inputs!$H$34*(5/6)</f>
        <v/>
      </c>
      <c r="H10" s="20">
        <f>Inputs!$B$8+Inputs!$H$34*(6/6)</f>
        <v/>
      </c>
    </row>
    <row r="11">
      <c r="A11" s="14" t="inlineStr">
        <is>
          <t>Seqirus OR</t>
        </is>
      </c>
      <c r="B11" s="22">
        <f>B9*B10</f>
        <v/>
      </c>
      <c r="C11" s="22">
        <f>C9*C10</f>
        <v/>
      </c>
      <c r="D11" s="22">
        <f>D9*D10</f>
        <v/>
      </c>
      <c r="E11" s="22">
        <f>E9*E10</f>
        <v/>
      </c>
      <c r="F11" s="22">
        <f>F9*F10</f>
        <v/>
      </c>
      <c r="G11" s="22">
        <f>G9*G10</f>
        <v/>
      </c>
      <c r="H11" s="22">
        <f>H9*H10</f>
        <v/>
      </c>
    </row>
    <row r="13">
      <c r="A13" s="14" t="inlineStr">
        <is>
          <t>Vifor revenue</t>
        </is>
      </c>
      <c r="B13" s="22">
        <f>Inputs!$B$5</f>
        <v/>
      </c>
      <c r="C13" s="22">
        <f>B13*(1+Inputs!$H$32)</f>
        <v/>
      </c>
      <c r="D13" s="22">
        <f>C13*(1+Inputs!$H$32)</f>
        <v/>
      </c>
      <c r="E13" s="22">
        <f>D13*(1+Inputs!$H$32)</f>
        <v/>
      </c>
      <c r="F13" s="22">
        <f>E13*(1+Inputs!$H$32)</f>
        <v/>
      </c>
      <c r="G13" s="22">
        <f>F13*(1+Inputs!$H$32)</f>
        <v/>
      </c>
      <c r="H13" s="22">
        <f>G13*(1+Inputs!$H$32)</f>
        <v/>
      </c>
    </row>
    <row r="14">
      <c r="A14" s="14" t="inlineStr">
        <is>
          <t>Vifor OR margin</t>
        </is>
      </c>
      <c r="B14" s="20">
        <f>Inputs!$B$9</f>
        <v/>
      </c>
      <c r="C14" s="20">
        <f>Inputs!$B$9+Inputs!$H$35*(1/6)</f>
        <v/>
      </c>
      <c r="D14" s="20">
        <f>Inputs!$B$9+Inputs!$H$35*(2/6)</f>
        <v/>
      </c>
      <c r="E14" s="20">
        <f>Inputs!$B$9+Inputs!$H$35*(3/6)</f>
        <v/>
      </c>
      <c r="F14" s="20">
        <f>Inputs!$B$9+Inputs!$H$35*(4/6)</f>
        <v/>
      </c>
      <c r="G14" s="20">
        <f>Inputs!$B$9+Inputs!$H$35*(5/6)</f>
        <v/>
      </c>
      <c r="H14" s="20">
        <f>Inputs!$B$9+Inputs!$H$35*(6/6)</f>
        <v/>
      </c>
    </row>
    <row r="15">
      <c r="A15" s="14" t="inlineStr">
        <is>
          <t>Vifor OR</t>
        </is>
      </c>
      <c r="B15" s="22">
        <f>B13*B14</f>
        <v/>
      </c>
      <c r="C15" s="22">
        <f>C13*C14</f>
        <v/>
      </c>
      <c r="D15" s="22">
        <f>D13*D14</f>
        <v/>
      </c>
      <c r="E15" s="22">
        <f>E13*E14</f>
        <v/>
      </c>
      <c r="F15" s="22">
        <f>F13*F14</f>
        <v/>
      </c>
      <c r="G15" s="22">
        <f>G13*G14</f>
        <v/>
      </c>
      <c r="H15" s="22">
        <f>H13*H14</f>
        <v/>
      </c>
    </row>
    <row r="17">
      <c r="A17" s="10" t="inlineStr">
        <is>
          <t>Group revenue</t>
        </is>
      </c>
      <c r="B17" s="22">
        <f>B5+B9+B13</f>
        <v/>
      </c>
      <c r="C17" s="22">
        <f>C5+C9+C13</f>
        <v/>
      </c>
      <c r="D17" s="22">
        <f>D5+D9+D13</f>
        <v/>
      </c>
      <c r="E17" s="22">
        <f>E5+E9+E13</f>
        <v/>
      </c>
      <c r="F17" s="22">
        <f>F5+F9+F13</f>
        <v/>
      </c>
      <c r="G17" s="22">
        <f>G5+G9+G13</f>
        <v/>
      </c>
      <c r="H17" s="22">
        <f>H5+H9+H13</f>
        <v/>
      </c>
    </row>
    <row r="18">
      <c r="A18" s="14" t="inlineStr">
        <is>
          <t>Segment OR (sum)</t>
        </is>
      </c>
      <c r="B18" s="22">
        <f>B7+B11+B15</f>
        <v/>
      </c>
      <c r="C18" s="22">
        <f>C7+C11+C15</f>
        <v/>
      </c>
      <c r="D18" s="22">
        <f>D7+D11+D15</f>
        <v/>
      </c>
      <c r="E18" s="22">
        <f>E7+E11+E15</f>
        <v/>
      </c>
      <c r="F18" s="22">
        <f>F7+F11+F15</f>
        <v/>
      </c>
      <c r="G18" s="22">
        <f>G7+G11+G15</f>
        <v/>
      </c>
      <c r="H18" s="22">
        <f>H7+H11+H15</f>
        <v/>
      </c>
    </row>
    <row r="19">
      <c r="A19" s="14" t="inlineStr">
        <is>
          <t>Corporate / unalloc</t>
        </is>
      </c>
      <c r="B19" s="22">
        <f>Inputs!$B$10</f>
        <v/>
      </c>
      <c r="C19" s="22">
        <f>Inputs!$B$10*(1.005^1)</f>
        <v/>
      </c>
      <c r="D19" s="22">
        <f>Inputs!$B$10*(1.005^2)</f>
        <v/>
      </c>
      <c r="E19" s="22">
        <f>Inputs!$B$10*(1.005^3)</f>
        <v/>
      </c>
      <c r="F19" s="22">
        <f>Inputs!$B$10*(1.005^4)</f>
        <v/>
      </c>
      <c r="G19" s="22">
        <f>Inputs!$B$10*(1.005^5)</f>
        <v/>
      </c>
      <c r="H19" s="22">
        <f>Inputs!$B$10*(1.005^6)</f>
        <v/>
      </c>
    </row>
    <row r="20">
      <c r="A20" s="10" t="inlineStr">
        <is>
          <t>Group EBIT</t>
        </is>
      </c>
      <c r="B20" s="22">
        <f>B18+B19</f>
        <v/>
      </c>
      <c r="C20" s="22">
        <f>C18+C19</f>
        <v/>
      </c>
      <c r="D20" s="22">
        <f>D18+D19</f>
        <v/>
      </c>
      <c r="E20" s="22">
        <f>E18+E19</f>
        <v/>
      </c>
      <c r="F20" s="22">
        <f>F18+F19</f>
        <v/>
      </c>
      <c r="G20" s="22">
        <f>G18+G19</f>
        <v/>
      </c>
      <c r="H20" s="22">
        <f>H18+H19</f>
        <v/>
      </c>
    </row>
    <row r="21">
      <c r="A21" s="14" t="inlineStr">
        <is>
          <t>Group EBIT margin (memo)</t>
        </is>
      </c>
      <c r="B21" s="20">
        <f>B20/B17</f>
        <v/>
      </c>
      <c r="C21" s="20">
        <f>C20/C17</f>
        <v/>
      </c>
      <c r="D21" s="20">
        <f>D20/D17</f>
        <v/>
      </c>
      <c r="E21" s="20">
        <f>E20/E17</f>
        <v/>
      </c>
      <c r="F21" s="20">
        <f>F20/F17</f>
        <v/>
      </c>
      <c r="G21" s="20">
        <f>G20/G17</f>
        <v/>
      </c>
      <c r="H21" s="20">
        <f>H20/H17</f>
        <v/>
      </c>
    </row>
    <row r="23">
      <c r="A23" s="14" t="inlineStr">
        <is>
          <t>NOPAT = EBIT x (1-tax)</t>
        </is>
      </c>
      <c r="C23" s="22">
        <f>C20*(1-Inputs!$H$38)</f>
        <v/>
      </c>
      <c r="D23" s="22">
        <f>D20*(1-Inputs!$H$38)</f>
        <v/>
      </c>
      <c r="E23" s="22">
        <f>E20*(1-Inputs!$H$38)</f>
        <v/>
      </c>
      <c r="F23" s="22">
        <f>F20*(1-Inputs!$H$38)</f>
        <v/>
      </c>
      <c r="G23" s="22">
        <f>G20*(1-Inputs!$H$38)</f>
        <v/>
      </c>
      <c r="H23" s="22">
        <f>H20*(1-Inputs!$H$38)</f>
        <v/>
      </c>
    </row>
    <row r="24">
      <c r="A24" s="14" t="inlineStr">
        <is>
          <t>Plus: D&amp;A</t>
        </is>
      </c>
      <c r="C24" s="22">
        <f>C17*Inputs!$B$12</f>
        <v/>
      </c>
      <c r="D24" s="22">
        <f>D17*Inputs!$B$12</f>
        <v/>
      </c>
      <c r="E24" s="22">
        <f>E17*Inputs!$B$12</f>
        <v/>
      </c>
      <c r="F24" s="22">
        <f>F17*Inputs!$B$12</f>
        <v/>
      </c>
      <c r="G24" s="22">
        <f>G17*Inputs!$B$12</f>
        <v/>
      </c>
      <c r="H24" s="22">
        <f>H17*Inputs!$B$12</f>
        <v/>
      </c>
    </row>
    <row r="25">
      <c r="A25" s="14" t="inlineStr">
        <is>
          <t>Less: capex</t>
        </is>
      </c>
      <c r="C25" s="22">
        <f>-C17*Inputs!$B$11</f>
        <v/>
      </c>
      <c r="D25" s="22">
        <f>-D17*Inputs!$B$11</f>
        <v/>
      </c>
      <c r="E25" s="22">
        <f>-E17*Inputs!$B$11</f>
        <v/>
      </c>
      <c r="F25" s="22">
        <f>-F17*Inputs!$B$11</f>
        <v/>
      </c>
      <c r="G25" s="22">
        <f>-G17*Inputs!$B$11</f>
        <v/>
      </c>
      <c r="H25" s="22">
        <f>-H17*Inputs!$B$11</f>
        <v/>
      </c>
    </row>
    <row r="26">
      <c r="A26" s="14" t="inlineStr">
        <is>
          <t>Less: WC change</t>
        </is>
      </c>
      <c r="C26" s="22">
        <f>-(C17-B17)*Inputs!$B$13</f>
        <v/>
      </c>
      <c r="D26" s="22">
        <f>-(D17-C17)*Inputs!$B$13</f>
        <v/>
      </c>
      <c r="E26" s="22">
        <f>-(E17-D17)*Inputs!$B$13</f>
        <v/>
      </c>
      <c r="F26" s="22">
        <f>-(F17-E17)*Inputs!$B$13</f>
        <v/>
      </c>
      <c r="G26" s="22">
        <f>-(G17-F17)*Inputs!$B$13</f>
        <v/>
      </c>
      <c r="H26" s="22">
        <f>-(H17-G17)*Inputs!$B$13</f>
        <v/>
      </c>
    </row>
    <row r="27">
      <c r="A27" s="10" t="inlineStr">
        <is>
          <t>FCFF</t>
        </is>
      </c>
      <c r="C27" s="22">
        <f>C23+C24+C25+C26</f>
        <v/>
      </c>
      <c r="D27" s="22">
        <f>D23+D24+D25+D26</f>
        <v/>
      </c>
      <c r="E27" s="22">
        <f>E23+E24+E25+E26</f>
        <v/>
      </c>
      <c r="F27" s="22">
        <f>F23+F24+F25+F26</f>
        <v/>
      </c>
      <c r="G27" s="22">
        <f>G23+G24+G25+G26</f>
        <v/>
      </c>
      <c r="H27" s="22">
        <f>H23+H24+H25+H26</f>
        <v/>
      </c>
    </row>
    <row r="28">
      <c r="A28" s="14" t="inlineStr">
        <is>
          <t>Mid-period t (FY26 excl.)</t>
        </is>
      </c>
      <c r="C28" s="23" t="n">
        <v>0</v>
      </c>
      <c r="D28" s="23" t="n">
        <v>0.5</v>
      </c>
      <c r="E28" s="23" t="n">
        <v>1.5</v>
      </c>
      <c r="F28" s="23" t="n">
        <v>2.5</v>
      </c>
      <c r="G28" s="23" t="n">
        <v>3.5</v>
      </c>
      <c r="H28" s="23" t="n">
        <v>4.5</v>
      </c>
    </row>
    <row r="29">
      <c r="A29" s="14" t="inlineStr">
        <is>
          <t>Discount factor</t>
        </is>
      </c>
      <c r="C29" s="24">
        <f>1/(1+Inputs!$B$22)^C28</f>
        <v/>
      </c>
      <c r="D29" s="24">
        <f>1/(1+Inputs!$B$22)^D28</f>
        <v/>
      </c>
      <c r="E29" s="24">
        <f>1/(1+Inputs!$B$22)^E28</f>
        <v/>
      </c>
      <c r="F29" s="24">
        <f>1/(1+Inputs!$B$22)^F28</f>
        <v/>
      </c>
      <c r="G29" s="24">
        <f>1/(1+Inputs!$B$22)^G28</f>
        <v/>
      </c>
      <c r="H29" s="24">
        <f>1/(1+Inputs!$B$22)^H28</f>
        <v/>
      </c>
    </row>
    <row r="30">
      <c r="A30" s="14" t="inlineStr">
        <is>
          <t>PV of FCFF (FY27–FY31)</t>
        </is>
      </c>
      <c r="C30" s="22" t="n">
        <v>0</v>
      </c>
      <c r="D30" s="22">
        <f>D27*D29</f>
        <v/>
      </c>
      <c r="E30" s="22">
        <f>E27*E29</f>
        <v/>
      </c>
      <c r="F30" s="22">
        <f>F27*F29</f>
        <v/>
      </c>
      <c r="G30" s="22">
        <f>G27*G29</f>
        <v/>
      </c>
      <c r="H30" s="22">
        <f>H27*H29</f>
        <v/>
      </c>
    </row>
    <row r="32">
      <c r="A32" s="10" t="inlineStr">
        <is>
          <t>Sum explicit PV (FY27–FY31)</t>
        </is>
      </c>
      <c r="C32" s="22">
        <f>SUM(D30:H30)</f>
        <v/>
      </c>
    </row>
    <row r="33">
      <c r="A33" s="14" t="inlineStr">
        <is>
          <t>Terminal FCFF (FY31 normalised)</t>
        </is>
      </c>
      <c r="C33" s="22">
        <f>(H17*Inputs!$H$36*(1-Inputs!$H$38)+H17*Inputs!$B$12-H17*Inputs!$B$11-H17*Inputs!$H$37*Inputs!$B$13)*(1+Inputs!$H$37)</f>
        <v/>
      </c>
    </row>
    <row r="34">
      <c r="A34" s="14" t="inlineStr">
        <is>
          <t>Terminal value (Gordon)</t>
        </is>
      </c>
      <c r="C34" s="22">
        <f>C33/(Inputs!$B$22-Inputs!$H$37)</f>
        <v/>
      </c>
    </row>
    <row r="35">
      <c r="A35" s="14" t="inlineStr">
        <is>
          <t>Discount factor t=5</t>
        </is>
      </c>
      <c r="C35" s="24">
        <f>1/(1+Inputs!$B$22)^5</f>
        <v/>
      </c>
    </row>
    <row r="36">
      <c r="A36" s="14" t="inlineStr">
        <is>
          <t>PV of terminal value</t>
        </is>
      </c>
      <c r="C36" s="22">
        <f>C34*C35</f>
        <v/>
      </c>
    </row>
    <row r="37">
      <c r="A37" s="10" t="inlineStr">
        <is>
          <t>Enterprise value</t>
        </is>
      </c>
      <c r="C37" s="22">
        <f>C32+C36</f>
        <v/>
      </c>
    </row>
    <row r="38">
      <c r="A38" s="14" t="inlineStr">
        <is>
          <t>Less: net debt</t>
        </is>
      </c>
      <c r="C38" s="22">
        <f>-Inputs!$B$17</f>
        <v/>
      </c>
    </row>
    <row r="39">
      <c r="A39" s="14" t="inlineStr">
        <is>
          <t>Less: restructuring cash</t>
        </is>
      </c>
      <c r="C39" s="22">
        <f>-Inputs!$B$18</f>
        <v/>
      </c>
    </row>
    <row r="40">
      <c r="A40" s="10" t="inlineStr">
        <is>
          <t>Equity value</t>
        </is>
      </c>
      <c r="C40" s="22">
        <f>C37+C38+C39</f>
        <v/>
      </c>
    </row>
    <row r="41">
      <c r="A41" s="14" t="inlineStr">
        <is>
          <t>Shares (m)</t>
        </is>
      </c>
      <c r="C41" s="22">
        <f>Inputs!$B$19</f>
        <v/>
      </c>
    </row>
    <row r="42">
      <c r="A42" s="10" t="inlineStr">
        <is>
          <t>Value per share (USD)</t>
        </is>
      </c>
      <c r="C42" s="11">
        <f>C40/C41</f>
        <v/>
      </c>
    </row>
    <row r="43">
      <c r="A43" s="10" t="inlineStr">
        <is>
          <t>Value per share (AUD)</t>
        </is>
      </c>
      <c r="C43" s="11">
        <f>C42*Inputs!$B$20</f>
        <v/>
      </c>
    </row>
    <row r="44">
      <c r="A44" s="14" t="inlineStr">
        <is>
          <t>Terminal % of EV (memo)</t>
        </is>
      </c>
      <c r="C44" s="25">
        <f>C36/C37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Methodology notes</t>
        </is>
      </c>
    </row>
    <row r="3" ht="30" customHeight="1">
      <c r="A3" s="13" t="inlineStr">
        <is>
          <t>Engine. Each scenario tab replicates the v3 Muddle Through segment DCF (Behring J-curve + Seqirus/Vifor CAGR; linear OR-margin glide to FY31; corporate +0.5%/yr; FCFF = NOPAT + D&amp;A − capex − ΔWC; explicit FY27–FY31 mid-period discounted; Gordon terminal off FY31). The Muddle Through tab reproduces v3 exactly: USD 141.78 / AUD 214.82.</t>
        </is>
      </c>
    </row>
    <row r="4" ht="30" customHeight="1">
      <c r="A4" s="13" t="inlineStr">
        <is>
          <t>Base. All scenarios anchor off v3 (terminal-margin fix now binding; Behring J-curve FY26 −1% → 5.5%; Behring peer-gap uplift +150bps in MT, full +250bps reserved for Orderly Convergence). Shared base inputs (segment FY25, capex/D&amp;A/WC, Re components, net debt, restructuring, shares, FX) are identical across scenarios on the Inputs tab.</t>
        </is>
      </c>
    </row>
    <row r="5" ht="30" customHeight="1">
      <c r="A5" s="13" t="inlineStr">
        <is>
          <t>Per-scenario drivers (Inputs tab, yellow). Behring 6-year growth path, Seqirus &amp; Vifor CAGR, the three segment margin uplifts, terminal EBIT margin, terminal growth g, and effective tax. These are the only levers that move between scenarios; everything else links by formula.</t>
        </is>
      </c>
    </row>
    <row r="6" ht="15" customHeight="1">
      <c r="A6" s="13" t="inlineStr">
        <is>
          <t>Calibration logic (CSL is defensive — scenarios act on margins/policy, not volumes):</t>
        </is>
      </c>
    </row>
    <row r="7" ht="30" customHeight="1">
      <c r="A7" s="13" t="inlineStr">
        <is>
          <t xml:space="preserve">  Orderly Convergence: benign macro, collection-cost inflation eases → full +250bps Behring closure, faster J-curve recovery, terminal margin 31.5%, g 3.25%.</t>
        </is>
      </c>
    </row>
    <row r="8" ht="30" customHeight="1">
      <c r="A8" s="13" t="inlineStr">
        <is>
          <t xml:space="preserve">  AI Productivity Lag: white-collar wage containment a mild margin tailwind; slightly softer macro growth and lower terminal g (2.875%). Lands marginally below MT.</t>
        </is>
      </c>
    </row>
    <row r="9" ht="30" customHeight="1">
      <c r="A9" s="13" t="inlineStr">
        <is>
          <t xml:space="preserve">  Disorderly Climate: carbon-cost pass-through compresses energy-intensive fractionation / cold-chain margins; Seqirus vaccine demand a partial offset. Terminal margin 28%, g 2.75%.</t>
        </is>
      </c>
    </row>
    <row r="10" ht="30" customHeight="1">
      <c r="A10" s="13" t="inlineStr">
        <is>
          <t xml:space="preserve">  Fragmentation: China Ig access + supply-chain localisation friction; peer-gap closure stalls (uplift 0), effective tax 20%. Terminal margin 28.2%, g 2.75%.</t>
        </is>
      </c>
    </row>
    <row r="11" ht="30" customHeight="1">
      <c r="A11" s="13" t="inlineStr">
        <is>
          <t xml:space="preserve">  Stagflation Persists: worst margin case — US donor-collection wage inflation + payor pricing pressure; closure reverses (Behring −150bps). Terminal margin 26.5%, g held 3% (nominal).</t>
        </is>
      </c>
    </row>
    <row r="12" ht="30" customHeight="1">
      <c r="A12" s="13" t="inlineStr">
        <is>
          <t>Single-WACC discipline. Re = 8.75% held across all scenarios; terminal g is scenario-conditional (structural state), Re is not (today's marginal-investor return). Per CLAUDE.md cross-cutting conventions and methodology §3.5.</t>
        </is>
      </c>
    </row>
    <row r="13" ht="30" customHeight="1">
      <c r="A13" s="13" t="inlineStr">
        <is>
          <t>Status. Calibration draft for Stephen's sign-off (25 June 2026). Thesis + discussion document deferred to the next pass per the agreed scope.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2026-06-25T04:38:50Z</dcterms:created>
  <dcterms:modified xmlns:dcterms="http://purl.org/dc/terms/" xmlns:xsi="http://www.w3.org/2001/XMLSchema-instance" xsi:type="dcterms:W3CDTF">2026-06-25T04:38:50Z</dcterms:modified>
</cp:coreProperties>
</file>