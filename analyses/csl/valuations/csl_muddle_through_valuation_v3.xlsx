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Segment Forecasts" sheetId="3" state="visible" r:id="rId3"/>
    <sheet xmlns:r="http://schemas.openxmlformats.org/officeDocument/2006/relationships" name="Per-Share Value" sheetId="4" state="visible" r:id="rId4"/>
    <sheet xmlns:r="http://schemas.openxmlformats.org/officeDocument/2006/relationships" name="Sources" sheetId="5" state="visible" r:id="rId5"/>
    <sheet xmlns:r="http://schemas.openxmlformats.org/officeDocument/2006/relationships" name="Consensus comparis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&quot;USD &quot;0.00"/>
    <numFmt numFmtId="165" formatCode="0.0000"/>
    <numFmt numFmtId="166" formatCode="&quot;AUD &quot;0.00"/>
    <numFmt numFmtId="167" formatCode="0.0%"/>
    <numFmt numFmtId="168" formatCode="+0.00%;-0.00%"/>
    <numFmt numFmtId="169" formatCode="#,##0;(#,##0)"/>
    <numFmt numFmtId="170" formatCode="#,##0.0"/>
    <numFmt numFmtId="171" formatCode="0.0"/>
  </numFmts>
  <fonts count="18">
    <font>
      <name val="Calibri"/>
      <family val="2"/>
      <color theme="1"/>
      <sz val="11"/>
      <scheme val="minor"/>
    </font>
    <font>
      <name val="Arial"/>
      <b val="1"/>
      <color rgb="001F4E78"/>
      <sz val="18"/>
    </font>
    <font>
      <name val="Arial"/>
      <i val="1"/>
      <color rgb="00595959"/>
      <sz val="12"/>
    </font>
    <font>
      <name val="Arial"/>
      <i val="1"/>
      <color rgb="00595959"/>
      <sz val="10"/>
    </font>
    <font>
      <name val="Arial"/>
      <b val="1"/>
      <color rgb="001F4E78"/>
      <sz val="11"/>
    </font>
    <font>
      <name val="Arial"/>
      <b val="1"/>
      <color rgb="001F4E78"/>
      <sz val="12"/>
    </font>
    <font>
      <name val="Arial"/>
      <color rgb="000066CC"/>
      <sz val="10"/>
    </font>
    <font>
      <name val="Arial"/>
      <b val="1"/>
      <color rgb="001F4E78"/>
      <sz val="14"/>
    </font>
    <font>
      <name val="Arial"/>
      <sz val="10"/>
    </font>
    <font>
      <name val="Arial"/>
      <b val="1"/>
      <sz val="10"/>
    </font>
    <font>
      <name val="Arial"/>
      <i val="1"/>
      <color rgb="00595959"/>
      <sz val="9"/>
    </font>
    <font>
      <name val="Arial"/>
      <b val="1"/>
      <color rgb="00FFFFFF"/>
      <sz val="11"/>
    </font>
    <font>
      <b val="1"/>
    </font>
    <font>
      <color rgb="000066CC"/>
    </font>
    <font>
      <i val="1"/>
      <color rgb="00808080"/>
      <sz val="9"/>
    </font>
    <font>
      <b val="1"/>
      <sz val="12"/>
    </font>
    <font>
      <b val="1"/>
      <color rgb="00C00000"/>
    </font>
    <font>
      <i val="1"/>
    </font>
  </fonts>
  <fills count="7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  <fill>
      <patternFill patternType="solid">
        <fgColor rgb="001F4E78"/>
        <bgColor rgb="001F4E78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bottom style="thin">
        <color rgb="00D9D9D9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5" fillId="0" borderId="0" pivotButton="0" quotePrefix="0" xfId="0"/>
    <xf numFmtId="165" fontId="6" fillId="2" borderId="0" pivotButton="0" quotePrefix="0" xfId="0"/>
    <xf numFmtId="166" fontId="7" fillId="0" borderId="0" pivotButton="0" quotePrefix="0" xfId="0"/>
    <xf numFmtId="166" fontId="6" fillId="2" borderId="0" pivotButton="0" quotePrefix="0" xfId="0"/>
    <xf numFmtId="167" fontId="0" fillId="0" borderId="0" pivotButton="0" quotePrefix="0" xfId="0"/>
    <xf numFmtId="166" fontId="0" fillId="0" borderId="0" pivotButton="0" quotePrefix="0" xfId="0"/>
    <xf numFmtId="0" fontId="8" fillId="0" borderId="0" pivotButton="0" quotePrefix="0" xfId="0"/>
    <xf numFmtId="0" fontId="7" fillId="0" borderId="0" pivotButton="0" quotePrefix="0" xfId="0"/>
    <xf numFmtId="0" fontId="4" fillId="3" borderId="0" pivotButton="0" quotePrefix="0" xfId="0"/>
    <xf numFmtId="0" fontId="0" fillId="3" borderId="0" pivotButton="0" quotePrefix="0" xfId="0"/>
    <xf numFmtId="0" fontId="8" fillId="0" borderId="1" pivotButton="0" quotePrefix="0" xfId="0"/>
    <xf numFmtId="3" fontId="6" fillId="2" borderId="1" pivotButton="0" quotePrefix="0" xfId="0"/>
    <xf numFmtId="167" fontId="8" fillId="0" borderId="1" pivotButton="0" quotePrefix="0" xfId="0"/>
    <xf numFmtId="3" fontId="8" fillId="4" borderId="1" pivotButton="0" quotePrefix="0" xfId="0"/>
    <xf numFmtId="167" fontId="6" fillId="2" borderId="1" pivotButton="0" quotePrefix="0" xfId="0"/>
    <xf numFmtId="168" fontId="6" fillId="2" borderId="1" pivotButton="0" quotePrefix="0" xfId="0"/>
    <xf numFmtId="169" fontId="6" fillId="2" borderId="1" pivotButton="0" quotePrefix="0" xfId="0"/>
    <xf numFmtId="10" fontId="6" fillId="2" borderId="1" pivotButton="0" quotePrefix="0" xfId="0"/>
    <xf numFmtId="2" fontId="6" fillId="2" borderId="1" pivotButton="0" quotePrefix="0" xfId="0"/>
    <xf numFmtId="10" fontId="9" fillId="3" borderId="1" pivotButton="0" quotePrefix="0" xfId="0"/>
    <xf numFmtId="170" fontId="6" fillId="2" borderId="1" pivotButton="0" quotePrefix="0" xfId="0"/>
    <xf numFmtId="0" fontId="10" fillId="0" borderId="0" pivotButton="0" quotePrefix="0" xfId="0"/>
    <xf numFmtId="0" fontId="11" fillId="5" borderId="1" applyAlignment="1" pivotButton="0" quotePrefix="0" xfId="0">
      <alignment horizontal="center"/>
    </xf>
    <xf numFmtId="0" fontId="9" fillId="4" borderId="1" pivotButton="0" quotePrefix="0" xfId="0"/>
    <xf numFmtId="3" fontId="8" fillId="0" borderId="1" pivotButton="0" quotePrefix="0" xfId="0"/>
    <xf numFmtId="0" fontId="9" fillId="0" borderId="1" pivotButton="0" quotePrefix="0" xfId="0"/>
    <xf numFmtId="3" fontId="9" fillId="4" borderId="1" pivotButton="0" quotePrefix="0" xfId="0"/>
    <xf numFmtId="0" fontId="9" fillId="3" borderId="1" pivotButton="0" quotePrefix="0" xfId="0"/>
    <xf numFmtId="3" fontId="9" fillId="3" borderId="1" pivotButton="0" quotePrefix="0" xfId="0"/>
    <xf numFmtId="169" fontId="8" fillId="0" borderId="1" pivotButton="0" quotePrefix="0" xfId="0"/>
    <xf numFmtId="171" fontId="8" fillId="0" borderId="1" pivotButton="0" quotePrefix="0" xfId="0"/>
    <xf numFmtId="165" fontId="8" fillId="0" borderId="1" pivotButton="0" quotePrefix="0" xfId="0"/>
    <xf numFmtId="3" fontId="9" fillId="0" borderId="1" pivotButton="0" quotePrefix="0" xfId="0"/>
    <xf numFmtId="170" fontId="8" fillId="0" borderId="1" pivotButton="0" quotePrefix="0" xfId="0"/>
    <xf numFmtId="164" fontId="9" fillId="3" borderId="1" pivotButton="0" quotePrefix="0" xfId="0"/>
    <xf numFmtId="0" fontId="12" fillId="0" borderId="0" pivotButton="0" quotePrefix="0" xfId="0"/>
    <xf numFmtId="3" fontId="13" fillId="6" borderId="0" pivotButton="0" quotePrefix="0" xfId="0"/>
    <xf numFmtId="0" fontId="14" fillId="0" borderId="0" pivotButton="0" quotePrefix="0" xfId="0"/>
    <xf numFmtId="4" fontId="13" fillId="6" borderId="0" pivotButton="0" quotePrefix="0" xfId="0"/>
    <xf numFmtId="0" fontId="15" fillId="0" borderId="0" pivotButton="0" quotePrefix="0" xfId="0"/>
    <xf numFmtId="0" fontId="12" fillId="0" borderId="0" applyAlignment="1" pivotButton="0" quotePrefix="0" xfId="0">
      <alignment horizontal="right"/>
    </xf>
    <xf numFmtId="0" fontId="16" fillId="0" borderId="0" pivotButton="0" quotePrefix="0" xfId="0"/>
    <xf numFmtId="3" fontId="0" fillId="0" borderId="0" pivotButton="0" quotePrefix="0" xfId="0"/>
    <xf numFmtId="0" fontId="17" fillId="0" borderId="2" pivotButton="0" quotePrefix="0" xfId="0"/>
    <xf numFmtId="167" fontId="17" fillId="0" borderId="2" pivotButton="0" quotePrefix="0" xfId="0"/>
    <xf numFmtId="4" fontId="0" fillId="0" borderId="0" pivotButton="0" quotePrefix="0" xfId="0"/>
    <xf numFmtId="0" fontId="0" fillId="0" borderId="2" pivotButton="0" quotePrefix="0" xfId="0"/>
    <xf numFmtId="0" fontId="14" fillId="0" borderId="1" pivotButton="0" quotePrefix="0" xfId="0"/>
    <xf numFmtId="167" fontId="13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38" customWidth="1" min="1" max="1"/>
    <col width="25" customWidth="1" min="2" max="2"/>
  </cols>
  <sheetData>
    <row r="1">
      <c r="A1" s="1" t="inlineStr">
        <is>
          <t>CSL Limited (ASX:CSL)</t>
        </is>
      </c>
    </row>
    <row r="2">
      <c r="A2" s="2" t="inlineStr">
        <is>
          <t>Muddle Through valuation v1 — segment-level (Behring + Seqirus + Vifor + corporate), USD model</t>
        </is>
      </c>
    </row>
    <row r="3">
      <c r="A3" s="3" t="inlineStr">
        <is>
          <t>18 June 2026 | Reid Advisory</t>
        </is>
      </c>
    </row>
    <row r="5">
      <c r="A5" s="4" t="inlineStr">
        <is>
          <t>Headline result</t>
        </is>
      </c>
    </row>
    <row r="6">
      <c r="A6" t="inlineStr">
        <is>
          <t>Value per share USD</t>
        </is>
      </c>
      <c r="B6" s="5">
        <f>'Per-Share Value'!C33</f>
        <v/>
      </c>
    </row>
    <row r="7">
      <c r="A7" t="inlineStr">
        <is>
          <t>Spot AUD/USD</t>
        </is>
      </c>
      <c r="B7" s="6" t="n">
        <v>0.66</v>
      </c>
    </row>
    <row r="8">
      <c r="A8" t="inlineStr">
        <is>
          <t>Value per share AUD</t>
        </is>
      </c>
      <c r="B8" s="7">
        <f>B6/B7</f>
        <v/>
      </c>
    </row>
    <row r="9">
      <c r="A9" t="inlineStr">
        <is>
          <t>Market reference AUD (15 June 2026)</t>
        </is>
      </c>
      <c r="B9" s="8" t="n">
        <v>105.53</v>
      </c>
    </row>
    <row r="10">
      <c r="A10" t="inlineStr">
        <is>
          <t>vs market</t>
        </is>
      </c>
      <c r="B10" s="9">
        <f>B8/B9-1</f>
        <v/>
      </c>
    </row>
    <row r="11">
      <c r="A11" t="inlineStr">
        <is>
          <t>Sell-side consensus 12-month target AUD</t>
        </is>
      </c>
      <c r="B11" s="10" t="n">
        <v>138.58</v>
      </c>
    </row>
    <row r="13">
      <c r="A13" s="4" t="inlineStr">
        <is>
          <t>Workbook conventions</t>
        </is>
      </c>
    </row>
    <row r="14">
      <c r="A14" s="11" t="inlineStr">
        <is>
          <t>• Yellow-shaded cells with blue text on the Assumptions sheet are INPUTS — change these to flex the model.</t>
        </is>
      </c>
    </row>
    <row r="15">
      <c r="A15" s="11" t="inlineStr">
        <is>
          <t>• All other cells are formulas. Trace any output to its formula via the formula bar.</t>
        </is>
      </c>
    </row>
    <row r="16">
      <c r="A16" s="11" t="inlineStr">
        <is>
          <t>• USD throughout for cash flows, discount rate, equity value. AUD translation only at the per-share comparison step on this Cover sheet.</t>
        </is>
      </c>
    </row>
    <row r="17">
      <c r="A17" s="11" t="inlineStr">
        <is>
          <t>• Anchor period: FY26 (year ending 30 June 2026) — based on 1H26 actuals + 2H26 implied by FY26 guidance.</t>
        </is>
      </c>
    </row>
    <row r="18">
      <c r="A18" s="11" t="inlineStr">
        <is>
          <t>• Segment-level: Behring + Seqirus + Vifor + Corporate, aggregated to consolidated NPATA → FCFF → per share.</t>
        </is>
      </c>
    </row>
    <row r="19">
      <c r="A19" s="11" t="inlineStr">
        <is>
          <t>• Peer-gap closure overlay: per management's USD 525m annual pre-tax savings target by FY27. Stated mechanism: Strategic Transformation (FY25 results presentation slide 19).</t>
        </is>
      </c>
    </row>
    <row r="20">
      <c r="A20" s="11" t="inlineStr">
        <is>
          <t>• Restructuring execution cash USD 525m face / USD 507m PV deducted in equity bridge per §4.4(b). Tax shield already absorbed in trailing book equity (1H26 charge).</t>
        </is>
      </c>
    </row>
  </sheetData>
  <mergeCells count="7">
    <mergeCell ref="A18:H18"/>
    <mergeCell ref="A15:H15"/>
    <mergeCell ref="A20:H20"/>
    <mergeCell ref="A16:H16"/>
    <mergeCell ref="A19:H19"/>
    <mergeCell ref="A14:H14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65" customWidth="1" min="3" max="3"/>
  </cols>
  <sheetData>
    <row r="1">
      <c r="A1" s="12" t="inlineStr">
        <is>
          <t>Muddle Through assumptions — INPUT LAYER (yellow cells are inputs)</t>
        </is>
      </c>
    </row>
    <row r="3">
      <c r="A3" s="13" t="inlineStr">
        <is>
          <t>FY25 actuals (anchor year ending 30 June 2025) — USD m</t>
        </is>
      </c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</row>
    <row r="4">
      <c r="A4" s="15" t="inlineStr">
        <is>
          <t>Group Revenue FY25</t>
        </is>
      </c>
      <c r="B4" s="16" t="n">
        <v>15558</v>
      </c>
    </row>
    <row r="5">
      <c r="A5" s="15" t="inlineStr">
        <is>
          <t>Group NPATA FY25</t>
        </is>
      </c>
      <c r="B5" s="16" t="n">
        <v>3219</v>
      </c>
    </row>
    <row r="6">
      <c r="A6" s="15" t="inlineStr">
        <is>
          <t>Group R&amp;D FY25 (in opex)</t>
        </is>
      </c>
      <c r="B6" s="16" t="n">
        <v>1359</v>
      </c>
    </row>
    <row r="7">
      <c r="A7" s="15" t="inlineStr">
        <is>
          <t>FY25 R&amp;D as % of revenue (memo)</t>
        </is>
      </c>
      <c r="B7" s="17">
        <f>1359/Assumptions!$B$4</f>
        <v/>
      </c>
    </row>
    <row r="9">
      <c r="A9" s="13" t="inlineStr">
        <is>
          <t>Segment FY25 revenue (USD m) — split of group</t>
        </is>
      </c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</row>
    <row r="10">
      <c r="A10" s="15" t="inlineStr">
        <is>
          <t>CSL Behring revenue FY25</t>
        </is>
      </c>
      <c r="B10" s="16" t="n">
        <v>11158</v>
      </c>
    </row>
    <row r="11">
      <c r="A11" s="15" t="inlineStr">
        <is>
          <t>CSL Seqirus revenue FY25</t>
        </is>
      </c>
      <c r="B11" s="16" t="n">
        <v>2166</v>
      </c>
    </row>
    <row r="12">
      <c r="A12" s="15" t="inlineStr">
        <is>
          <t>CSL Vifor revenue FY25</t>
        </is>
      </c>
      <c r="B12" s="16" t="n">
        <v>2234</v>
      </c>
    </row>
    <row r="13">
      <c r="A13" s="15" t="inlineStr">
        <is>
          <t>Sum check (should equal Group)</t>
        </is>
      </c>
      <c r="B13" s="18">
        <f>Assumptions!$B$10+Assumptions!$B$11+Assumptions!$B$12</f>
        <v/>
      </c>
    </row>
    <row r="15">
      <c r="A15" s="13" t="inlineStr">
        <is>
          <t>Segment FY25 operating-result margins (per FY25 results pres p.16-17)</t>
        </is>
      </c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</row>
    <row r="16">
      <c r="A16" s="15" t="inlineStr">
        <is>
          <t>CSL Behring OR margin FY25</t>
        </is>
      </c>
      <c r="B16" s="19" t="n">
        <v>0.422</v>
      </c>
    </row>
    <row r="17">
      <c r="A17" s="15" t="inlineStr">
        <is>
          <t>CSL Seqirus OR margin FY25</t>
        </is>
      </c>
      <c r="B17" s="19" t="n">
        <v>0.474</v>
      </c>
    </row>
    <row r="18">
      <c r="A18" s="15" t="inlineStr">
        <is>
          <t>CSL Vifor OR margin FY25</t>
        </is>
      </c>
      <c r="B18" s="19" t="n">
        <v>0.491</v>
      </c>
    </row>
    <row r="20">
      <c r="A20" s="13" t="inlineStr">
        <is>
          <t>Segment growth assumptions (Muddle Through CAGR, FY26-FY31)</t>
        </is>
      </c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</row>
    <row r="21">
      <c r="A21" s="15" t="inlineStr">
        <is>
          <t>Behring revenue CAGR (Muddle Through)</t>
        </is>
      </c>
      <c r="B21" s="19" t="n">
        <v>0.05</v>
      </c>
      <c r="C21" s="52" t="inlineStr">
        <is>
          <t>v3: superseded by Behring J-curve vector below (rows 69-74)</t>
        </is>
      </c>
    </row>
    <row r="22">
      <c r="A22" s="15" t="inlineStr">
        <is>
          <t>Seqirus revenue CAGR</t>
        </is>
      </c>
      <c r="B22" s="19" t="n">
        <v>0.02</v>
      </c>
      <c r="C22" s="15" t="inlineStr">
        <is>
          <t>Mature seasonal vaccine market</t>
        </is>
      </c>
    </row>
    <row r="23">
      <c r="A23" s="15" t="inlineStr">
        <is>
          <t>Vifor revenue CAGR</t>
        </is>
      </c>
      <c r="B23" s="19" t="n">
        <v>0.07000000000000001</v>
      </c>
      <c r="C23" s="15" t="inlineStr">
        <is>
          <t>FY25 +8%; 1H26 +12% on indication expansion</t>
        </is>
      </c>
    </row>
    <row r="25">
      <c r="A25" s="13" t="inlineStr">
        <is>
          <t>Peer-gap closure overlay — segment margin uplift per Strategic Transformation</t>
        </is>
      </c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</row>
    <row r="26">
      <c r="A26" s="15" t="inlineStr">
        <is>
          <t>Behring margin uplift (cumulative bps by FY31)</t>
        </is>
      </c>
      <c r="B26" s="20" t="n">
        <v>0.015</v>
      </c>
      <c r="C26" s="15" t="inlineStr">
        <is>
          <t>v3: phased — full +250bps reserved for Orderly Convergence; +150bps in Muddle Through</t>
        </is>
      </c>
    </row>
    <row r="27">
      <c r="A27" s="15" t="inlineStr">
        <is>
          <t>Seqirus margin uplift (cumulative bps by FY31)</t>
        </is>
      </c>
      <c r="B27" s="20" t="n">
        <v>0.01</v>
      </c>
    </row>
    <row r="28">
      <c r="A28" s="15" t="inlineStr">
        <is>
          <t>Vifor margin uplift (cumulative bps by FY31)</t>
        </is>
      </c>
      <c r="B28" s="20" t="n">
        <v>0.01</v>
      </c>
    </row>
    <row r="30">
      <c r="A30" s="13" t="inlineStr">
        <is>
          <t>Corporate items</t>
        </is>
      </c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</row>
    <row r="31">
      <c r="A31" s="15" t="inlineStr">
        <is>
          <t>R&amp;D + G&amp;A + central FY25 (negative)</t>
        </is>
      </c>
      <c r="B31" s="21" t="n">
        <v>-2559</v>
      </c>
      <c r="C31" s="15" t="inlineStr">
        <is>
          <t>FY25 R&amp;D 1,359 + G&amp;A 1,000 + other 200</t>
        </is>
      </c>
    </row>
    <row r="32">
      <c r="A32" s="15" t="inlineStr">
        <is>
          <t>Net interest expense FY26 (estimate)</t>
        </is>
      </c>
      <c r="B32" s="21" t="n">
        <v>-390</v>
      </c>
      <c r="C32" s="15" t="inlineStr">
        <is>
          <t>FY25 actual (410); reducing as debt paid down</t>
        </is>
      </c>
    </row>
    <row r="33">
      <c r="A33" s="15" t="inlineStr">
        <is>
          <t>Effective tax rate</t>
        </is>
      </c>
      <c r="B33" s="19" t="n">
        <v>0.19</v>
      </c>
      <c r="C33" s="15" t="inlineStr">
        <is>
          <t>FY26 guidance 18-20%</t>
        </is>
      </c>
    </row>
    <row r="35">
      <c r="A35" s="13" t="inlineStr">
        <is>
          <t>Capital allocation</t>
        </is>
      </c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</row>
    <row r="36">
      <c r="A36" s="15" t="inlineStr">
        <is>
          <t>Capex / revenue ratio</t>
        </is>
      </c>
      <c r="B36" s="19" t="n">
        <v>0.045</v>
      </c>
      <c r="C36" s="15" t="inlineStr">
        <is>
          <t>FY26 guidance ~USD 800m; steady ~5% of revenue</t>
        </is>
      </c>
    </row>
    <row r="37">
      <c r="A37" s="15" t="inlineStr">
        <is>
          <t>D&amp;A / revenue ratio</t>
        </is>
      </c>
      <c r="B37" s="19" t="n">
        <v>0.06</v>
      </c>
    </row>
    <row r="38">
      <c r="A38" s="15" t="inlineStr">
        <is>
          <t>Working capital change / revenue change ratio</t>
        </is>
      </c>
      <c r="B38" s="19" t="n">
        <v>0.1</v>
      </c>
    </row>
    <row r="39">
      <c r="A39" s="15" t="inlineStr">
        <is>
          <t>Dividend payout ratio (NPATA basis)</t>
        </is>
      </c>
      <c r="B39" s="19" t="n">
        <v>0.44</v>
      </c>
      <c r="C39" s="15" t="inlineStr">
        <is>
          <t>FY25 actual: DPS 2.92 / NPATA EPS 6.65 = 44%</t>
        </is>
      </c>
    </row>
    <row r="41">
      <c r="A41" s="13" t="inlineStr">
        <is>
          <t>Cost of equity build (per §15.2 + §3.5.3 peer-triangulation)</t>
        </is>
      </c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</row>
    <row r="42">
      <c r="A42" s="15" t="inlineStr">
        <is>
          <t>Risk-free rate (10y US Treasury)</t>
        </is>
      </c>
      <c r="B42" s="22" t="n">
        <v>0.045</v>
      </c>
      <c r="C42" s="15" t="inlineStr">
        <is>
          <t>USD anchor; 10y US Treasury yield mid-2026</t>
        </is>
      </c>
    </row>
    <row r="43">
      <c r="A43" s="15" t="inlineStr">
        <is>
          <t>Equity risk premium</t>
        </is>
      </c>
      <c r="B43" s="22" t="n">
        <v>0.05</v>
      </c>
      <c r="C43" s="15" t="inlineStr">
        <is>
          <t>Damodaran-style mature-market ERP</t>
        </is>
      </c>
    </row>
    <row r="44">
      <c r="A44" s="15" t="inlineStr">
        <is>
          <t>Beta measured (EODHD)</t>
        </is>
      </c>
      <c r="B44" s="23" t="n">
        <v>0.094</v>
      </c>
      <c r="C44" s="15" t="inlineStr">
        <is>
          <t>UNRELIABLE — USD revenue base vs AUD ASX series</t>
        </is>
      </c>
    </row>
    <row r="45">
      <c r="A45" s="15" t="inlineStr">
        <is>
          <t>Beta selected (peer-triangulated)</t>
        </is>
      </c>
      <c r="B45" s="23" t="n">
        <v>0.85</v>
      </c>
      <c r="C45" s="15" t="inlineStr">
        <is>
          <t>Defensive healthcare franchise; peers Grifols / Takeda / Sanofi 0.7-0.9</t>
        </is>
      </c>
    </row>
    <row r="46">
      <c r="A46" s="15" t="inlineStr">
        <is>
          <t>equals  Cost of equity Re (derived)</t>
        </is>
      </c>
      <c r="B46" s="24">
        <f>Assumptions!$B$42+Assumptions!$B$45*Assumptions!$B$43</f>
        <v/>
      </c>
    </row>
    <row r="48">
      <c r="A48" s="13" t="inlineStr">
        <is>
          <t>Balance sheet anchors (FY25 close + 1H26 close)</t>
        </is>
      </c>
      <c r="B48" s="14" t="n"/>
      <c r="C48" s="14" t="n"/>
      <c r="D48" s="14" t="n"/>
      <c r="E48" s="14" t="n"/>
      <c r="F48" s="14" t="n"/>
      <c r="G48" s="14" t="n"/>
      <c r="H48" s="14" t="n"/>
      <c r="I48" s="14" t="n"/>
      <c r="J48" s="14" t="n"/>
    </row>
    <row r="49">
      <c r="A49" s="15" t="inlineStr">
        <is>
          <t>Net debt at 1H26 close (USD m)</t>
        </is>
      </c>
      <c r="B49" s="16" t="n">
        <v>9100</v>
      </c>
      <c r="C49" s="15" t="inlineStr">
        <is>
          <t>FY25 leverage 1.8x EBITDA, EBITDA ~$5.05bn</t>
        </is>
      </c>
    </row>
    <row r="50">
      <c r="A50" s="15" t="inlineStr">
        <is>
          <t>Restructuring cash to come (USD m, PV)</t>
        </is>
      </c>
      <c r="B50" s="16" t="n">
        <v>507</v>
      </c>
      <c r="C50" s="15" t="inlineStr">
        <is>
          <t>FY26 425 + FY27 100 PV at Re; per §4.4(b)</t>
        </is>
      </c>
    </row>
    <row r="51">
      <c r="A51" s="15" t="inlineStr">
        <is>
          <t>Shares outstanding (m)</t>
        </is>
      </c>
      <c r="B51" s="25" t="n">
        <v>478.9</v>
      </c>
    </row>
    <row r="53">
      <c r="A53" s="13" t="inlineStr">
        <is>
          <t>Terminal value</t>
        </is>
      </c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</row>
    <row r="54">
      <c r="A54" s="15" t="inlineStr">
        <is>
          <t>Terminal growth g (USD nominal)</t>
        </is>
      </c>
      <c r="B54" s="19" t="n">
        <v>0.03</v>
      </c>
      <c r="C54" s="15" t="inlineStr">
        <is>
          <t>US nominal GDP-adjacent</t>
        </is>
      </c>
    </row>
    <row r="55">
      <c r="A55" s="15" t="inlineStr">
        <is>
          <t>Terminal EBIT margin (group)</t>
        </is>
      </c>
      <c r="B55" s="19" t="n">
        <v>0.3</v>
      </c>
      <c r="C55" s="52" t="inlineStr">
        <is>
          <t>v3: now BINDING — terminal capitalises 30% margin, not FY31 peak</t>
        </is>
      </c>
    </row>
    <row r="57">
      <c r="A57" s="40" t="inlineStr">
        <is>
          <t>Sell-side consensus (16 analysts) — INPUT</t>
        </is>
      </c>
    </row>
    <row r="58">
      <c r="A58" t="inlineStr">
        <is>
          <t>Consensus revenue FY26 (USD m)</t>
        </is>
      </c>
      <c r="B58" s="41" t="n">
        <v>15390</v>
      </c>
      <c r="C58" s="42" t="inlineStr">
        <is>
          <t>MarketScreener + Yahoo Finance, 21 Jun 2026</t>
        </is>
      </c>
    </row>
    <row r="59">
      <c r="A59" t="inlineStr">
        <is>
          <t>Consensus revenue FY27 (USD m)</t>
        </is>
      </c>
      <c r="B59" s="41" t="n">
        <v>15670</v>
      </c>
      <c r="C59" s="42" t="inlineStr">
        <is>
          <t>MarketScreener + Yahoo Finance, 21 Jun 2026</t>
        </is>
      </c>
    </row>
    <row r="60">
      <c r="A60" t="inlineStr">
        <is>
          <t>Consensus revenue FY28 (USD m)</t>
        </is>
      </c>
      <c r="B60" s="41" t="n">
        <v>16278</v>
      </c>
      <c r="C60" s="42" t="inlineStr">
        <is>
          <t>MarketScreener + Yahoo Finance, 21 Jun 2026</t>
        </is>
      </c>
    </row>
    <row r="61">
      <c r="A61" t="inlineStr">
        <is>
          <t>Consensus EBIT FY26 (USD m)</t>
        </is>
      </c>
      <c r="B61" s="41" t="n">
        <v>4464</v>
      </c>
      <c r="C61" s="42" t="inlineStr">
        <is>
          <t>MarketScreener</t>
        </is>
      </c>
    </row>
    <row r="62">
      <c r="A62" t="inlineStr">
        <is>
          <t>Consensus EBIT FY27 (USD m)</t>
        </is>
      </c>
      <c r="B62" s="41" t="n">
        <v>4463</v>
      </c>
      <c r="C62" s="42" t="inlineStr">
        <is>
          <t>MarketScreener</t>
        </is>
      </c>
    </row>
    <row r="63">
      <c r="A63" t="inlineStr">
        <is>
          <t>Consensus EBIT FY28 (USD m)</t>
        </is>
      </c>
      <c r="B63" s="41" t="n">
        <v>4672</v>
      </c>
      <c r="C63" s="42" t="inlineStr">
        <is>
          <t>MarketScreener</t>
        </is>
      </c>
    </row>
    <row r="64">
      <c r="A64" t="inlineStr">
        <is>
          <t>Consensus normalised EPS FY26 (USD)</t>
        </is>
      </c>
      <c r="B64" s="43" t="n">
        <v>6.28</v>
      </c>
      <c r="C64" s="42" t="inlineStr">
        <is>
          <t>Yahoo normalised ~NPATA</t>
        </is>
      </c>
    </row>
    <row r="65">
      <c r="A65" t="inlineStr">
        <is>
          <t>Consensus normalised EPS FY27 (USD)</t>
        </is>
      </c>
      <c r="B65" s="43" t="n">
        <v>6.4</v>
      </c>
      <c r="C65" s="42" t="inlineStr">
        <is>
          <t>Yahoo normalised ~NPATA</t>
        </is>
      </c>
    </row>
    <row r="66">
      <c r="A66" t="inlineStr">
        <is>
          <t>Consensus 12m target price (USD)</t>
        </is>
      </c>
      <c r="B66" s="43" t="n">
        <v>96.75</v>
      </c>
      <c r="C66" s="42" t="inlineStr">
        <is>
          <t>MarketScreener mean ~AUD 136</t>
        </is>
      </c>
    </row>
    <row r="68">
      <c r="A68" s="40" t="inlineStr">
        <is>
          <t>Behring per-year revenue growth (J-curve, v3) — INPUT</t>
        </is>
      </c>
    </row>
    <row r="69">
      <c r="A69" t="inlineStr">
        <is>
          <t>FY26 Behring growth</t>
        </is>
      </c>
      <c r="B69" s="53" t="n">
        <v>-0.01</v>
      </c>
      <c r="C69" s="42" t="inlineStr">
        <is>
          <t>Medicare Part D + China trough (1H26 Behring -7%)</t>
        </is>
      </c>
    </row>
    <row r="70">
      <c r="A70" t="inlineStr">
        <is>
          <t>FY27 Behring growth</t>
        </is>
      </c>
      <c r="B70" s="53" t="n">
        <v>0.025</v>
      </c>
      <c r="C70" s="42" t="inlineStr">
        <is>
          <t>Part D annualises; partial recovery</t>
        </is>
      </c>
    </row>
    <row r="71">
      <c r="A71" t="inlineStr">
        <is>
          <t>FY28 Behring growth</t>
        </is>
      </c>
      <c r="B71" s="53" t="n">
        <v>0.045</v>
      </c>
      <c r="C71" s="42" t="inlineStr">
        <is>
          <t>Recovery toward secular</t>
        </is>
      </c>
    </row>
    <row r="72">
      <c r="A72" t="inlineStr">
        <is>
          <t>FY29 Behring growth</t>
        </is>
      </c>
      <c r="B72" s="53" t="n">
        <v>0.055</v>
      </c>
      <c r="C72" s="42" t="inlineStr">
        <is>
          <t>Archetype through-cycle 5-7%</t>
        </is>
      </c>
    </row>
    <row r="73">
      <c r="A73" t="inlineStr">
        <is>
          <t>FY30 Behring growth</t>
        </is>
      </c>
      <c r="B73" s="53" t="n">
        <v>0.055</v>
      </c>
    </row>
    <row r="74">
      <c r="A74" t="inlineStr">
        <is>
          <t>FY31 Behring growth</t>
        </is>
      </c>
      <c r="B74" s="53" t="n">
        <v>0.055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2" t="inlineStr">
        <is>
          <t>Per-segment revenue + operating result forecast (USD m)</t>
        </is>
      </c>
    </row>
    <row r="2">
      <c r="A2" s="26" t="inlineStr">
        <is>
          <t>FY25 base anchored to disclosed segment financials. Growth + margin uplift applied per Assumptions sheet.</t>
        </is>
      </c>
    </row>
    <row r="4">
      <c r="A4" s="27" t="inlineStr">
        <is>
          <t>Line</t>
        </is>
      </c>
      <c r="B4" s="27" t="inlineStr">
        <is>
          <t>FY25 actual</t>
        </is>
      </c>
      <c r="C4" s="27" t="inlineStr">
        <is>
          <t>FY26</t>
        </is>
      </c>
      <c r="D4" s="27" t="inlineStr">
        <is>
          <t>FY27</t>
        </is>
      </c>
      <c r="E4" s="27" t="inlineStr">
        <is>
          <t>FY28</t>
        </is>
      </c>
      <c r="F4" s="27" t="inlineStr">
        <is>
          <t>FY29</t>
        </is>
      </c>
      <c r="G4" s="27" t="inlineStr">
        <is>
          <t>FY30</t>
        </is>
      </c>
      <c r="H4" s="27" t="inlineStr">
        <is>
          <t>FY31</t>
        </is>
      </c>
    </row>
    <row r="5">
      <c r="A5" s="28" t="inlineStr">
        <is>
          <t>CSL BEHRING</t>
        </is>
      </c>
    </row>
    <row r="6">
      <c r="A6" s="15" t="inlineStr">
        <is>
          <t>Revenue</t>
        </is>
      </c>
      <c r="B6" s="29">
        <f>Assumptions!$B$10</f>
        <v/>
      </c>
      <c r="C6" s="29">
        <f>B6*(1+Assumptions!$B$69)</f>
        <v/>
      </c>
      <c r="D6" s="29">
        <f>C6*(1+Assumptions!$B$70)</f>
        <v/>
      </c>
      <c r="E6" s="29">
        <f>D6*(1+Assumptions!$B$71)</f>
        <v/>
      </c>
      <c r="F6" s="29">
        <f>E6*(1+Assumptions!$B$72)</f>
        <v/>
      </c>
      <c r="G6" s="29">
        <f>F6*(1+Assumptions!$B$73)</f>
        <v/>
      </c>
      <c r="H6" s="29">
        <f>G6*(1+Assumptions!$B$74)</f>
        <v/>
      </c>
    </row>
    <row r="7">
      <c r="A7" s="15" t="inlineStr">
        <is>
          <t>Operating result margin</t>
        </is>
      </c>
      <c r="B7" s="17">
        <f>Assumptions!$B$16</f>
        <v/>
      </c>
      <c r="C7" s="17">
        <f>Assumptions!$B$16+Assumptions!$B$26*(1/6)</f>
        <v/>
      </c>
      <c r="D7" s="17">
        <f>Assumptions!$B$16+Assumptions!$B$26*(2/6)</f>
        <v/>
      </c>
      <c r="E7" s="17">
        <f>Assumptions!$B$16+Assumptions!$B$26*(3/6)</f>
        <v/>
      </c>
      <c r="F7" s="17">
        <f>Assumptions!$B$16+Assumptions!$B$26*(4/6)</f>
        <v/>
      </c>
      <c r="G7" s="17">
        <f>Assumptions!$B$16+Assumptions!$B$26*(5/6)</f>
        <v/>
      </c>
      <c r="H7" s="17">
        <f>Assumptions!$B$16+Assumptions!$B$26*(6/6)</f>
        <v/>
      </c>
    </row>
    <row r="8">
      <c r="A8" s="30" t="inlineStr">
        <is>
          <t>Operating result</t>
        </is>
      </c>
      <c r="B8" s="31">
        <f>B6*B7</f>
        <v/>
      </c>
      <c r="C8" s="31">
        <f>C6*C7</f>
        <v/>
      </c>
      <c r="D8" s="31">
        <f>D6*D7</f>
        <v/>
      </c>
      <c r="E8" s="31">
        <f>E6*E7</f>
        <v/>
      </c>
      <c r="F8" s="31">
        <f>F6*F7</f>
        <v/>
      </c>
      <c r="G8" s="31">
        <f>G6*G7</f>
        <v/>
      </c>
      <c r="H8" s="31">
        <f>H6*H7</f>
        <v/>
      </c>
    </row>
    <row r="10">
      <c r="A10" s="28" t="inlineStr">
        <is>
          <t>CSL SEQIRUS</t>
        </is>
      </c>
    </row>
    <row r="11">
      <c r="A11" s="15" t="inlineStr">
        <is>
          <t>Revenue</t>
        </is>
      </c>
      <c r="B11" s="29">
        <f>Assumptions!$B$11</f>
        <v/>
      </c>
      <c r="C11" s="29">
        <f>B11*(1+Assumptions!$B$22)</f>
        <v/>
      </c>
      <c r="D11" s="29">
        <f>C11*(1+Assumptions!$B$22)</f>
        <v/>
      </c>
      <c r="E11" s="29">
        <f>D11*(1+Assumptions!$B$22)</f>
        <v/>
      </c>
      <c r="F11" s="29">
        <f>E11*(1+Assumptions!$B$22)</f>
        <v/>
      </c>
      <c r="G11" s="29">
        <f>F11*(1+Assumptions!$B$22)</f>
        <v/>
      </c>
      <c r="H11" s="29">
        <f>G11*(1+Assumptions!$B$22)</f>
        <v/>
      </c>
    </row>
    <row r="12">
      <c r="A12" s="15" t="inlineStr">
        <is>
          <t>Operating result margin</t>
        </is>
      </c>
      <c r="B12" s="17">
        <f>Assumptions!$B$17</f>
        <v/>
      </c>
      <c r="C12" s="17">
        <f>Assumptions!$B$17+Assumptions!$B$27*(1/6)</f>
        <v/>
      </c>
      <c r="D12" s="17">
        <f>Assumptions!$B$17+Assumptions!$B$27*(2/6)</f>
        <v/>
      </c>
      <c r="E12" s="17">
        <f>Assumptions!$B$17+Assumptions!$B$27*(3/6)</f>
        <v/>
      </c>
      <c r="F12" s="17">
        <f>Assumptions!$B$17+Assumptions!$B$27*(4/6)</f>
        <v/>
      </c>
      <c r="G12" s="17">
        <f>Assumptions!$B$17+Assumptions!$B$27*(5/6)</f>
        <v/>
      </c>
      <c r="H12" s="17">
        <f>Assumptions!$B$17+Assumptions!$B$27*(6/6)</f>
        <v/>
      </c>
    </row>
    <row r="13">
      <c r="A13" s="30" t="inlineStr">
        <is>
          <t>Operating result</t>
        </is>
      </c>
      <c r="B13" s="31">
        <f>B11*B12</f>
        <v/>
      </c>
      <c r="C13" s="31">
        <f>C11*C12</f>
        <v/>
      </c>
      <c r="D13" s="31">
        <f>D11*D12</f>
        <v/>
      </c>
      <c r="E13" s="31">
        <f>E11*E12</f>
        <v/>
      </c>
      <c r="F13" s="31">
        <f>F11*F12</f>
        <v/>
      </c>
      <c r="G13" s="31">
        <f>G11*G12</f>
        <v/>
      </c>
      <c r="H13" s="31">
        <f>H11*H12</f>
        <v/>
      </c>
    </row>
    <row r="15">
      <c r="A15" s="28" t="inlineStr">
        <is>
          <t>CSL VIFOR</t>
        </is>
      </c>
    </row>
    <row r="16">
      <c r="A16" s="15" t="inlineStr">
        <is>
          <t>Revenue</t>
        </is>
      </c>
      <c r="B16" s="29">
        <f>Assumptions!$B$12</f>
        <v/>
      </c>
      <c r="C16" s="29">
        <f>B16*(1+Assumptions!$B$23)</f>
        <v/>
      </c>
      <c r="D16" s="29">
        <f>C16*(1+Assumptions!$B$23)</f>
        <v/>
      </c>
      <c r="E16" s="29">
        <f>D16*(1+Assumptions!$B$23)</f>
        <v/>
      </c>
      <c r="F16" s="29">
        <f>E16*(1+Assumptions!$B$23)</f>
        <v/>
      </c>
      <c r="G16" s="29">
        <f>F16*(1+Assumptions!$B$23)</f>
        <v/>
      </c>
      <c r="H16" s="29">
        <f>G16*(1+Assumptions!$B$23)</f>
        <v/>
      </c>
    </row>
    <row r="17">
      <c r="A17" s="15" t="inlineStr">
        <is>
          <t>Operating result margin</t>
        </is>
      </c>
      <c r="B17" s="17">
        <f>Assumptions!$B$18</f>
        <v/>
      </c>
      <c r="C17" s="17">
        <f>Assumptions!$B$18+Assumptions!$B$28*(1/6)</f>
        <v/>
      </c>
      <c r="D17" s="17">
        <f>Assumptions!$B$18+Assumptions!$B$28*(2/6)</f>
        <v/>
      </c>
      <c r="E17" s="17">
        <f>Assumptions!$B$18+Assumptions!$B$28*(3/6)</f>
        <v/>
      </c>
      <c r="F17" s="17">
        <f>Assumptions!$B$18+Assumptions!$B$28*(4/6)</f>
        <v/>
      </c>
      <c r="G17" s="17">
        <f>Assumptions!$B$18+Assumptions!$B$28*(5/6)</f>
        <v/>
      </c>
      <c r="H17" s="17">
        <f>Assumptions!$B$18+Assumptions!$B$28*(6/6)</f>
        <v/>
      </c>
    </row>
    <row r="18">
      <c r="A18" s="30" t="inlineStr">
        <is>
          <t>Operating result</t>
        </is>
      </c>
      <c r="B18" s="31">
        <f>B16*B17</f>
        <v/>
      </c>
      <c r="C18" s="31">
        <f>C16*C17</f>
        <v/>
      </c>
      <c r="D18" s="31">
        <f>D16*D17</f>
        <v/>
      </c>
      <c r="E18" s="31">
        <f>E16*E17</f>
        <v/>
      </c>
      <c r="F18" s="31">
        <f>F16*F17</f>
        <v/>
      </c>
      <c r="G18" s="31">
        <f>G16*G17</f>
        <v/>
      </c>
      <c r="H18" s="31">
        <f>H16*H17</f>
        <v/>
      </c>
    </row>
    <row r="20">
      <c r="A20" s="32" t="inlineStr">
        <is>
          <t>GROUP ROLLUP</t>
        </is>
      </c>
    </row>
    <row r="21">
      <c r="A21" s="30" t="inlineStr">
        <is>
          <t>Total revenue (sum of segments)</t>
        </is>
      </c>
      <c r="B21" s="33">
        <f>B6+B11+B16</f>
        <v/>
      </c>
      <c r="C21" s="33">
        <f>C6+C11+C16</f>
        <v/>
      </c>
      <c r="D21" s="33">
        <f>D6+D11+D16</f>
        <v/>
      </c>
      <c r="E21" s="33">
        <f>E6+E11+E16</f>
        <v/>
      </c>
      <c r="F21" s="33">
        <f>F6+F11+F16</f>
        <v/>
      </c>
      <c r="G21" s="33">
        <f>G6+G11+G16</f>
        <v/>
      </c>
      <c r="H21" s="33">
        <f>H6+H11+H16</f>
        <v/>
      </c>
    </row>
    <row r="22">
      <c r="A22" s="30" t="inlineStr">
        <is>
          <t>Segment operating result (sum)</t>
        </is>
      </c>
      <c r="B22" s="33">
        <f>B8+B13+B18</f>
        <v/>
      </c>
      <c r="C22" s="33">
        <f>C8+C13+C18</f>
        <v/>
      </c>
      <c r="D22" s="33">
        <f>D8+D13+D18</f>
        <v/>
      </c>
      <c r="E22" s="33">
        <f>E8+E13+E18</f>
        <v/>
      </c>
      <c r="F22" s="33">
        <f>F8+F13+F18</f>
        <v/>
      </c>
      <c r="G22" s="33">
        <f>G8+G13+G18</f>
        <v/>
      </c>
      <c r="H22" s="33">
        <f>H8+H13+H18</f>
        <v/>
      </c>
    </row>
    <row r="23">
      <c r="A23" s="15" t="inlineStr">
        <is>
          <t>Less: corporate / unallocated</t>
        </is>
      </c>
      <c r="B23" s="34">
        <f>Assumptions!$B$31</f>
        <v/>
      </c>
      <c r="C23" s="34">
        <f>B23*1.005</f>
        <v/>
      </c>
      <c r="D23" s="34">
        <f>C23*1.005</f>
        <v/>
      </c>
      <c r="E23" s="34">
        <f>D23*1.005</f>
        <v/>
      </c>
      <c r="F23" s="34">
        <f>E23*1.005</f>
        <v/>
      </c>
      <c r="G23" s="34">
        <f>F23*1.005</f>
        <v/>
      </c>
      <c r="H23" s="34">
        <f>G23*1.005</f>
        <v/>
      </c>
    </row>
    <row r="24">
      <c r="A24" s="30" t="inlineStr">
        <is>
          <t>Group EBIT</t>
        </is>
      </c>
      <c r="B24" s="31">
        <f>B22+B23</f>
        <v/>
      </c>
      <c r="C24" s="31">
        <f>C22+C23</f>
        <v/>
      </c>
      <c r="D24" s="31">
        <f>D22+D23</f>
        <v/>
      </c>
      <c r="E24" s="31">
        <f>E22+E23</f>
        <v/>
      </c>
      <c r="F24" s="31">
        <f>F22+F23</f>
        <v/>
      </c>
      <c r="G24" s="31">
        <f>G22+G23</f>
        <v/>
      </c>
      <c r="H24" s="31">
        <f>H22+H23</f>
        <v/>
      </c>
    </row>
    <row r="25">
      <c r="A25" s="15" t="inlineStr">
        <is>
          <t>Group EBIT margin (memo)</t>
        </is>
      </c>
      <c r="B25" s="17">
        <f>B24/B21</f>
        <v/>
      </c>
      <c r="C25" s="17">
        <f>C24/C21</f>
        <v/>
      </c>
      <c r="D25" s="17">
        <f>D24/D21</f>
        <v/>
      </c>
      <c r="E25" s="17">
        <f>E24/E21</f>
        <v/>
      </c>
      <c r="F25" s="17">
        <f>F24/F21</f>
        <v/>
      </c>
      <c r="G25" s="17">
        <f>G24/G21</f>
        <v/>
      </c>
      <c r="H25" s="17">
        <f>H24/H21</f>
        <v/>
      </c>
    </row>
    <row r="26">
      <c r="A26" s="15" t="inlineStr">
        <is>
          <t>Net interest expense</t>
        </is>
      </c>
      <c r="B26" s="34">
        <f>Assumptions!$B$32*1.05</f>
        <v/>
      </c>
      <c r="C26" s="34">
        <f>B26*0.95</f>
        <v/>
      </c>
      <c r="D26" s="34">
        <f>C26*0.95</f>
        <v/>
      </c>
      <c r="E26" s="34">
        <f>D26*0.95</f>
        <v/>
      </c>
      <c r="F26" s="34">
        <f>E26*0.95</f>
        <v/>
      </c>
      <c r="G26" s="34">
        <f>F26*0.95</f>
        <v/>
      </c>
      <c r="H26" s="34">
        <f>G26*0.95</f>
        <v/>
      </c>
    </row>
    <row r="27">
      <c r="A27" s="15" t="inlineStr">
        <is>
          <t>Profit before tax</t>
        </is>
      </c>
      <c r="B27" s="29">
        <f>B24+B26</f>
        <v/>
      </c>
      <c r="C27" s="29">
        <f>C24+C26</f>
        <v/>
      </c>
      <c r="D27" s="29">
        <f>D24+D26</f>
        <v/>
      </c>
      <c r="E27" s="29">
        <f>E24+E26</f>
        <v/>
      </c>
      <c r="F27" s="29">
        <f>F24+F26</f>
        <v/>
      </c>
      <c r="G27" s="29">
        <f>G24+G26</f>
        <v/>
      </c>
      <c r="H27" s="29">
        <f>H24+H26</f>
        <v/>
      </c>
    </row>
    <row r="28">
      <c r="A28" s="15" t="inlineStr">
        <is>
          <t>Income tax expense</t>
        </is>
      </c>
      <c r="B28" s="34">
        <f>-B27*Assumptions!$B$33</f>
        <v/>
      </c>
      <c r="C28" s="34">
        <f>-C27*Assumptions!$B$33</f>
        <v/>
      </c>
      <c r="D28" s="34">
        <f>-D27*Assumptions!$B$33</f>
        <v/>
      </c>
      <c r="E28" s="34">
        <f>-E27*Assumptions!$B$33</f>
        <v/>
      </c>
      <c r="F28" s="34">
        <f>-F27*Assumptions!$B$33</f>
        <v/>
      </c>
      <c r="G28" s="34">
        <f>-G27*Assumptions!$B$33</f>
        <v/>
      </c>
      <c r="H28" s="34">
        <f>-H27*Assumptions!$B$33</f>
        <v/>
      </c>
    </row>
    <row r="29">
      <c r="A29" s="15" t="inlineStr">
        <is>
          <t>NPATA</t>
        </is>
      </c>
      <c r="B29" s="33">
        <f>B27+B28</f>
        <v/>
      </c>
      <c r="C29" s="33">
        <f>C27+C28</f>
        <v/>
      </c>
      <c r="D29" s="33">
        <f>D27+D28</f>
        <v/>
      </c>
      <c r="E29" s="33">
        <f>E27+E28</f>
        <v/>
      </c>
      <c r="F29" s="33">
        <f>F27+F28</f>
        <v/>
      </c>
      <c r="G29" s="33">
        <f>G27+G28</f>
        <v/>
      </c>
      <c r="H29" s="33">
        <f>H27+H28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2" t="inlineStr">
        <is>
          <t>Per-share value — FCFF DCF + equity bridge</t>
        </is>
      </c>
    </row>
    <row r="2">
      <c r="A2" s="26" t="inlineStr">
        <is>
          <t>Discount rate Re from Assumptions. Mid-period discounting. USD throughout; AUD only at Cover sheet output.</t>
        </is>
      </c>
    </row>
    <row r="4">
      <c r="A4" s="27" t="inlineStr">
        <is>
          <t>Line</t>
        </is>
      </c>
      <c r="B4" s="27" t="inlineStr">
        <is>
          <t>FY26</t>
        </is>
      </c>
      <c r="C4" s="27" t="inlineStr">
        <is>
          <t>FY27</t>
        </is>
      </c>
      <c r="D4" s="27" t="inlineStr">
        <is>
          <t>FY28</t>
        </is>
      </c>
      <c r="E4" s="27" t="inlineStr">
        <is>
          <t>FY29</t>
        </is>
      </c>
      <c r="F4" s="27" t="inlineStr">
        <is>
          <t>FY30</t>
        </is>
      </c>
      <c r="G4" s="27" t="inlineStr">
        <is>
          <t>FY31</t>
        </is>
      </c>
    </row>
    <row r="5">
      <c r="A5" s="15" t="inlineStr">
        <is>
          <t>Group EBIT (from Segment Forecasts)</t>
        </is>
      </c>
      <c r="B5" s="29">
        <f>'Segment Forecasts'!C24</f>
        <v/>
      </c>
      <c r="C5" s="29">
        <f>'Segment Forecasts'!D24</f>
        <v/>
      </c>
      <c r="D5" s="29">
        <f>'Segment Forecasts'!E24</f>
        <v/>
      </c>
      <c r="E5" s="29">
        <f>'Segment Forecasts'!F24</f>
        <v/>
      </c>
      <c r="F5" s="29">
        <f>'Segment Forecasts'!G24</f>
        <v/>
      </c>
      <c r="G5" s="29">
        <f>'Segment Forecasts'!H24</f>
        <v/>
      </c>
    </row>
    <row r="6">
      <c r="A6" s="15" t="inlineStr">
        <is>
          <t>Group Revenue (from Segment Forecasts)</t>
        </is>
      </c>
      <c r="B6" s="29">
        <f>'Segment Forecasts'!C21</f>
        <v/>
      </c>
      <c r="C6" s="29">
        <f>'Segment Forecasts'!D21</f>
        <v/>
      </c>
      <c r="D6" s="29">
        <f>'Segment Forecasts'!E21</f>
        <v/>
      </c>
      <c r="E6" s="29">
        <f>'Segment Forecasts'!F21</f>
        <v/>
      </c>
      <c r="F6" s="29">
        <f>'Segment Forecasts'!G21</f>
        <v/>
      </c>
      <c r="G6" s="29">
        <f>'Segment Forecasts'!H21</f>
        <v/>
      </c>
    </row>
    <row r="7">
      <c r="A7" s="15" t="inlineStr">
        <is>
          <t>Less: tax on EBIT</t>
        </is>
      </c>
      <c r="B7" s="34">
        <f>-B5*Assumptions!$B$33</f>
        <v/>
      </c>
      <c r="C7" s="34">
        <f>-C5*Assumptions!$B$33</f>
        <v/>
      </c>
      <c r="D7" s="34">
        <f>-D5*Assumptions!$B$33</f>
        <v/>
      </c>
      <c r="E7" s="34">
        <f>-E5*Assumptions!$B$33</f>
        <v/>
      </c>
      <c r="F7" s="34">
        <f>-F5*Assumptions!$B$33</f>
        <v/>
      </c>
      <c r="G7" s="34">
        <f>-G5*Assumptions!$B$33</f>
        <v/>
      </c>
    </row>
    <row r="8">
      <c r="A8" s="30" t="inlineStr">
        <is>
          <t>NOPAT</t>
        </is>
      </c>
      <c r="B8" s="31">
        <f>B5+B7</f>
        <v/>
      </c>
      <c r="C8" s="31">
        <f>C5+C7</f>
        <v/>
      </c>
      <c r="D8" s="31">
        <f>D5+D7</f>
        <v/>
      </c>
      <c r="E8" s="31">
        <f>E5+E7</f>
        <v/>
      </c>
      <c r="F8" s="31">
        <f>F5+F7</f>
        <v/>
      </c>
      <c r="G8" s="31">
        <f>G5+G7</f>
        <v/>
      </c>
    </row>
    <row r="9">
      <c r="A9" s="15" t="inlineStr">
        <is>
          <t>Plus: D&amp;A</t>
        </is>
      </c>
      <c r="B9" s="29">
        <f>B6*Assumptions!$B$37</f>
        <v/>
      </c>
      <c r="C9" s="29">
        <f>C6*Assumptions!$B$37</f>
        <v/>
      </c>
      <c r="D9" s="29">
        <f>D6*Assumptions!$B$37</f>
        <v/>
      </c>
      <c r="E9" s="29">
        <f>E6*Assumptions!$B$37</f>
        <v/>
      </c>
      <c r="F9" s="29">
        <f>F6*Assumptions!$B$37</f>
        <v/>
      </c>
      <c r="G9" s="29">
        <f>G6*Assumptions!$B$37</f>
        <v/>
      </c>
    </row>
    <row r="10">
      <c r="A10" s="15" t="inlineStr">
        <is>
          <t>Less: capex</t>
        </is>
      </c>
      <c r="B10" s="34">
        <f>-B6*Assumptions!$B$36</f>
        <v/>
      </c>
      <c r="C10" s="34">
        <f>-C6*Assumptions!$B$36</f>
        <v/>
      </c>
      <c r="D10" s="34">
        <f>-D6*Assumptions!$B$36</f>
        <v/>
      </c>
      <c r="E10" s="34">
        <f>-E6*Assumptions!$B$36</f>
        <v/>
      </c>
      <c r="F10" s="34">
        <f>-F6*Assumptions!$B$36</f>
        <v/>
      </c>
      <c r="G10" s="34">
        <f>-G6*Assumptions!$B$36</f>
        <v/>
      </c>
    </row>
    <row r="11">
      <c r="A11" s="15" t="inlineStr">
        <is>
          <t>Less: working capital change</t>
        </is>
      </c>
      <c r="B11" s="34">
        <f>-(B6-Assumptions!$B$4)*Assumptions!$B$38</f>
        <v/>
      </c>
      <c r="C11" s="34">
        <f>-(C6-B6)*Assumptions!$B$38</f>
        <v/>
      </c>
      <c r="D11" s="34">
        <f>-(D6-C6)*Assumptions!$B$38</f>
        <v/>
      </c>
      <c r="E11" s="34">
        <f>-(E6-D6)*Assumptions!$B$38</f>
        <v/>
      </c>
      <c r="F11" s="34">
        <f>-(F6-E6)*Assumptions!$B$38</f>
        <v/>
      </c>
      <c r="G11" s="34">
        <f>-(G6-F6)*Assumptions!$B$38</f>
        <v/>
      </c>
    </row>
    <row r="12">
      <c r="A12" s="30" t="inlineStr">
        <is>
          <t>Free cash flow to firm (FCFF)</t>
        </is>
      </c>
      <c r="B12" s="33">
        <f>B8+B9+B10+B11</f>
        <v/>
      </c>
      <c r="C12" s="33">
        <f>C8+C9+C10+C11</f>
        <v/>
      </c>
      <c r="D12" s="33">
        <f>D8+D9+D10+D11</f>
        <v/>
      </c>
      <c r="E12" s="33">
        <f>E8+E9+E10+E11</f>
        <v/>
      </c>
      <c r="F12" s="33">
        <f>F8+F9+F10+F11</f>
        <v/>
      </c>
      <c r="G12" s="33">
        <f>G8+G9+G10+G11</f>
        <v/>
      </c>
    </row>
    <row r="14">
      <c r="A14" s="15" t="inlineStr">
        <is>
          <t>Mid-period time (years)</t>
        </is>
      </c>
      <c r="B14" s="35" t="n">
        <v>0</v>
      </c>
      <c r="C14" s="35" t="n">
        <v>0.5</v>
      </c>
      <c r="D14" s="35" t="n">
        <v>1.5</v>
      </c>
      <c r="E14" s="35" t="n">
        <v>2.5</v>
      </c>
      <c r="F14" s="35" t="n">
        <v>3.5</v>
      </c>
      <c r="G14" s="35" t="n">
        <v>4.5</v>
      </c>
    </row>
    <row r="15">
      <c r="A15" s="15" t="inlineStr">
        <is>
          <t>Discount factor</t>
        </is>
      </c>
      <c r="B15" s="36">
        <f>1/(1+Assumptions!$B$46)^B14</f>
        <v/>
      </c>
      <c r="C15" s="36">
        <f>1/(1+Assumptions!$B$46)^C14</f>
        <v/>
      </c>
      <c r="D15" s="36">
        <f>1/(1+Assumptions!$B$46)^D14</f>
        <v/>
      </c>
      <c r="E15" s="36">
        <f>1/(1+Assumptions!$B$46)^E14</f>
        <v/>
      </c>
      <c r="F15" s="36">
        <f>1/(1+Assumptions!$B$46)^F14</f>
        <v/>
      </c>
      <c r="G15" s="36">
        <f>1/(1+Assumptions!$B$46)^G14</f>
        <v/>
      </c>
    </row>
    <row r="16">
      <c r="A16" s="15" t="inlineStr">
        <is>
          <t>PV of FCFF (FY27-FY31 explicit + FY26 if appropriate)</t>
        </is>
      </c>
      <c r="B16" s="29" t="n">
        <v>0</v>
      </c>
      <c r="C16" s="37">
        <f>C12*C15</f>
        <v/>
      </c>
      <c r="D16" s="37">
        <f>D12*D15</f>
        <v/>
      </c>
      <c r="E16" s="37">
        <f>E12*E15</f>
        <v/>
      </c>
      <c r="F16" s="37">
        <f>F12*F15</f>
        <v/>
      </c>
      <c r="G16" s="37">
        <f>G12*G15</f>
        <v/>
      </c>
    </row>
    <row r="17">
      <c r="A17" s="15" t="inlineStr">
        <is>
          <t>Sum of explicit PV (FY27-FY31)</t>
        </is>
      </c>
      <c r="C17" s="31">
        <f>SUM(C16:G16)</f>
        <v/>
      </c>
    </row>
    <row r="19">
      <c r="A19" s="13" t="inlineStr">
        <is>
          <t>Terminal value</t>
        </is>
      </c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</row>
    <row r="20">
      <c r="A20" s="15" t="inlineStr">
        <is>
          <t>Terminal FCFF (normalised: FY31 rev x terminal EBIT margin) x (1+g)</t>
        </is>
      </c>
      <c r="C20" s="29">
        <f>(G6*Assumptions!$B$55*(1-Assumptions!$B$33)+G9+G10-(G6*Assumptions!$B$54)*Assumptions!$B$38)*(1+Assumptions!$B$54)</f>
        <v/>
      </c>
    </row>
    <row r="21">
      <c r="A21" s="15" t="inlineStr">
        <is>
          <t>Terminal value (Gordon growth)</t>
        </is>
      </c>
      <c r="C21" s="31">
        <f>$C$20/(Assumptions!$B$46-Assumptions!$B$54)</f>
        <v/>
      </c>
    </row>
    <row r="22">
      <c r="A22" s="15" t="inlineStr">
        <is>
          <t>Discount factor at end Y5 (t=5)</t>
        </is>
      </c>
      <c r="C22" s="36">
        <f>1/(1+Assumptions!$B$46)^5</f>
        <v/>
      </c>
    </row>
    <row r="23">
      <c r="A23" s="32" t="inlineStr">
        <is>
          <t>PV of terminal value</t>
        </is>
      </c>
      <c r="C23" s="33">
        <f>$C$21*$C$22</f>
        <v/>
      </c>
    </row>
    <row r="25">
      <c r="A25" s="13" t="inlineStr">
        <is>
          <t>Equity bridge per §4 (FCFF to per share)</t>
        </is>
      </c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</row>
    <row r="26">
      <c r="A26" s="15" t="inlineStr">
        <is>
          <t>Sum of PV explicit FCFF (FY27-FY31)</t>
        </is>
      </c>
      <c r="C26" s="29">
        <f>$C$17</f>
        <v/>
      </c>
    </row>
    <row r="27">
      <c r="A27" s="15" t="inlineStr">
        <is>
          <t>Plus: PV of terminal value</t>
        </is>
      </c>
      <c r="C27" s="29">
        <f>$C$23</f>
        <v/>
      </c>
    </row>
    <row r="28">
      <c r="A28" s="28" t="inlineStr">
        <is>
          <t>Enterprise value</t>
        </is>
      </c>
      <c r="C28" s="31">
        <f>$C$17+$C$23</f>
        <v/>
      </c>
    </row>
    <row r="29">
      <c r="A29" s="15" t="inlineStr">
        <is>
          <t>Less: net debt at anchor</t>
        </is>
      </c>
      <c r="C29" s="34">
        <f>-Assumptions!$B$49</f>
        <v/>
      </c>
    </row>
    <row r="30">
      <c r="A30" s="15" t="inlineStr">
        <is>
          <t>Less: restructuring cash to come (PV per §4.4(b))</t>
        </is>
      </c>
      <c r="C30" s="34">
        <f>-Assumptions!$B$50</f>
        <v/>
      </c>
    </row>
    <row r="31">
      <c r="A31" s="28" t="inlineStr">
        <is>
          <t>Equity value</t>
        </is>
      </c>
      <c r="C31" s="31">
        <f>$C$28-Assumptions!$B$49-Assumptions!$B$50</f>
        <v/>
      </c>
    </row>
    <row r="32">
      <c r="A32" s="15" t="inlineStr">
        <is>
          <t>÷ Shares outstanding (m)</t>
        </is>
      </c>
      <c r="C32" s="38">
        <f>Assumptions!$B$51</f>
        <v/>
      </c>
    </row>
    <row r="33">
      <c r="A33" s="32" t="inlineStr">
        <is>
          <t>Value per share USD</t>
        </is>
      </c>
      <c r="C33" s="39">
        <f>$C$31/Assumptions!$B$51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8" customWidth="1" min="1" max="1"/>
    <col width="25" customWidth="1" min="2" max="2"/>
    <col width="50" customWidth="1" min="3" max="3"/>
  </cols>
  <sheetData>
    <row r="1">
      <c r="A1" s="12" t="inlineStr">
        <is>
          <t>Source documents per §14</t>
        </is>
      </c>
    </row>
    <row r="3">
      <c r="A3" s="27" t="inlineStr">
        <is>
          <t>Anchor</t>
        </is>
      </c>
      <c r="B3" s="27" t="inlineStr">
        <is>
          <t>Value</t>
        </is>
      </c>
      <c r="C3" s="27" t="inlineStr">
        <is>
          <t>Source</t>
        </is>
      </c>
    </row>
    <row r="4">
      <c r="A4" s="15" t="inlineStr">
        <is>
          <t>Group Revenue FY25</t>
        </is>
      </c>
      <c r="B4" s="15" t="inlineStr">
        <is>
          <t>USD 15,558m</t>
        </is>
      </c>
      <c r="C4" s="15" t="inlineStr">
        <is>
          <t>FY25 results presentation p.15</t>
        </is>
      </c>
    </row>
    <row r="5">
      <c r="A5" s="15" t="inlineStr">
        <is>
          <t>Group NPATA FY25</t>
        </is>
      </c>
      <c r="B5" s="15" t="inlineStr">
        <is>
          <t>USD 3,219m</t>
        </is>
      </c>
      <c r="C5" s="15" t="inlineStr">
        <is>
          <t>FY25 results presentation p.15</t>
        </is>
      </c>
    </row>
    <row r="6">
      <c r="A6" s="15" t="inlineStr">
        <is>
          <t>Behring revenue FY25</t>
        </is>
      </c>
      <c r="B6" s="15" t="inlineStr">
        <is>
          <t>USD 11,158m</t>
        </is>
      </c>
      <c r="C6" s="15" t="inlineStr">
        <is>
          <t>FY25 results presentation p.16</t>
        </is>
      </c>
    </row>
    <row r="7">
      <c r="A7" s="15" t="inlineStr">
        <is>
          <t>Seqirus revenue FY25</t>
        </is>
      </c>
      <c r="B7" s="15" t="inlineStr">
        <is>
          <t>USD 2,166m</t>
        </is>
      </c>
      <c r="C7" s="15" t="inlineStr">
        <is>
          <t>FY25 results presentation p.17</t>
        </is>
      </c>
    </row>
    <row r="8">
      <c r="A8" s="15" t="inlineStr">
        <is>
          <t>Vifor revenue FY25</t>
        </is>
      </c>
      <c r="B8" s="15" t="inlineStr">
        <is>
          <t>USD 2,234m</t>
        </is>
      </c>
      <c r="C8" s="15" t="inlineStr">
        <is>
          <t>FY25 results presentation p.17</t>
        </is>
      </c>
    </row>
    <row r="9">
      <c r="A9" s="15" t="inlineStr">
        <is>
          <t>Behring OR margin FY25</t>
        </is>
      </c>
      <c r="B9" s="15" t="inlineStr">
        <is>
          <t>42.2%</t>
        </is>
      </c>
      <c r="C9" s="15" t="inlineStr">
        <is>
          <t>FY25 results presentation p.16</t>
        </is>
      </c>
    </row>
    <row r="10">
      <c r="A10" s="15" t="inlineStr">
        <is>
          <t>Seqirus OR margin FY25</t>
        </is>
      </c>
      <c r="B10" s="15" t="inlineStr">
        <is>
          <t>47.4%</t>
        </is>
      </c>
      <c r="C10" s="15" t="inlineStr">
        <is>
          <t>FY25 results presentation p.17</t>
        </is>
      </c>
    </row>
    <row r="11">
      <c r="A11" s="15" t="inlineStr">
        <is>
          <t>Vifor OR margin FY25</t>
        </is>
      </c>
      <c r="B11" s="15" t="inlineStr">
        <is>
          <t>49.1%</t>
        </is>
      </c>
      <c r="C11" s="15" t="inlineStr">
        <is>
          <t>FY25 results presentation p.17</t>
        </is>
      </c>
    </row>
    <row r="12">
      <c r="A12" s="15" t="inlineStr">
        <is>
          <t>Restructuring pre-tax (FY26)</t>
        </is>
      </c>
      <c r="B12" s="15" t="inlineStr">
        <is>
          <t>USD 700-770m</t>
        </is>
      </c>
      <c r="C12" s="15" t="inlineStr">
        <is>
          <t>FY25 results presentation p.20 footnote</t>
        </is>
      </c>
    </row>
    <row r="13">
      <c r="A13" s="15" t="inlineStr">
        <is>
          <t>Restructuring cash (FY26 + FY27)</t>
        </is>
      </c>
      <c r="B13" s="15" t="inlineStr">
        <is>
          <t>USD 525m total</t>
        </is>
      </c>
      <c r="C13" s="15" t="inlineStr">
        <is>
          <t>FY25 results presentation p.20 footnote</t>
        </is>
      </c>
    </row>
    <row r="14">
      <c r="A14" s="15" t="inlineStr">
        <is>
          <t>Tax shield on 1H26 charge</t>
        </is>
      </c>
      <c r="B14" s="15" t="inlineStr">
        <is>
          <t>USD 403m / 22% effective</t>
        </is>
      </c>
      <c r="C14" s="15" t="inlineStr">
        <is>
          <t>1H26 statutory accounts; results pres p.15</t>
        </is>
      </c>
    </row>
    <row r="15">
      <c r="A15" s="15" t="inlineStr">
        <is>
          <t>Shares outstanding</t>
        </is>
      </c>
      <c r="B15" s="15" t="inlineStr">
        <is>
          <t>478,911,979</t>
        </is>
      </c>
      <c r="C15" s="15" t="inlineStr">
        <is>
          <t>EODHD fundamentals 15 June 2026</t>
        </is>
      </c>
    </row>
    <row r="16">
      <c r="A16" s="15" t="inlineStr">
        <is>
          <t>Market reference price</t>
        </is>
      </c>
      <c r="B16" s="15" t="inlineStr">
        <is>
          <t>AUD 105.53</t>
        </is>
      </c>
      <c r="C16" s="15" t="inlineStr">
        <is>
          <t>EODHD 15 June 2026</t>
        </is>
      </c>
    </row>
    <row r="17">
      <c r="A17" s="15" t="inlineStr">
        <is>
          <t>Sell-side target</t>
        </is>
      </c>
      <c r="B17" s="15" t="inlineStr">
        <is>
          <t>AUD 138.58</t>
        </is>
      </c>
      <c r="C17" s="15" t="inlineStr">
        <is>
          <t>EODHD Wall Street target</t>
        </is>
      </c>
    </row>
    <row r="18">
      <c r="A18" s="15" t="inlineStr">
        <is>
          <t>Beta selected</t>
        </is>
      </c>
      <c r="B18" s="15" t="inlineStr">
        <is>
          <t>0.85</t>
        </is>
      </c>
      <c r="C18" s="15" t="inlineStr">
        <is>
          <t>§3.5.3 peer triangulation (Grifols / Takeda / Sanofi 0.7-0.9 range)</t>
        </is>
      </c>
    </row>
    <row r="19">
      <c r="A19" s="15" t="inlineStr">
        <is>
          <t>Risk-free rate</t>
        </is>
      </c>
      <c r="B19" s="15" t="inlineStr">
        <is>
          <t>4.50%</t>
        </is>
      </c>
      <c r="C19" s="15" t="inlineStr">
        <is>
          <t>10y US Treasury, June 2026</t>
        </is>
      </c>
    </row>
    <row r="20">
      <c r="A20" s="15" t="inlineStr">
        <is>
          <t>Effective tax rate</t>
        </is>
      </c>
      <c r="B20" s="15" t="inlineStr">
        <is>
          <t>19%</t>
        </is>
      </c>
      <c r="C20" s="15" t="inlineStr">
        <is>
          <t>FY26 guidance 18-20% (FY25 actual 15.9%, post-tax-rate-change Pillar 2)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</cols>
  <sheetData>
    <row r="1">
      <c r="A1" s="44" t="inlineStr">
        <is>
          <t>Framework (Muddle Through) vs sell-side consensus — USD m unless noted</t>
        </is>
      </c>
    </row>
    <row r="2">
      <c r="A2" s="42" t="inlineStr">
        <is>
          <t>Model cells link to Segment Forecasts / Per-Share Value. Consensus cells link to Assumptions inputs. Differences are formulas.</t>
        </is>
      </c>
    </row>
    <row r="4">
      <c r="A4" s="40" t="inlineStr">
        <is>
          <t>Line</t>
        </is>
      </c>
      <c r="B4" s="45" t="inlineStr">
        <is>
          <t>FY26</t>
        </is>
      </c>
      <c r="C4" s="45" t="inlineStr">
        <is>
          <t>FY27</t>
        </is>
      </c>
      <c r="D4" s="45" t="inlineStr">
        <is>
          <t>FY28</t>
        </is>
      </c>
    </row>
    <row r="5">
      <c r="A5" s="46" t="inlineStr">
        <is>
          <t>Group revenue (USD m)</t>
        </is>
      </c>
    </row>
    <row r="6">
      <c r="A6" t="inlineStr">
        <is>
          <t xml:space="preserve">  Framework</t>
        </is>
      </c>
      <c r="B6" s="47">
        <f>'Segment Forecasts'!C21</f>
        <v/>
      </c>
      <c r="C6" s="47">
        <f>'Segment Forecasts'!D21</f>
        <v/>
      </c>
      <c r="D6" s="47">
        <f>'Segment Forecasts'!E21</f>
        <v/>
      </c>
    </row>
    <row r="7">
      <c r="A7" t="inlineStr">
        <is>
          <t xml:space="preserve">  Consensus</t>
        </is>
      </c>
      <c r="B7" s="47">
        <f>Assumptions!$B$58</f>
        <v/>
      </c>
      <c r="C7" s="47">
        <f>Assumptions!$B$59</f>
        <v/>
      </c>
      <c r="D7" s="47">
        <f>Assumptions!$B$60</f>
        <v/>
      </c>
    </row>
    <row r="8">
      <c r="A8" s="48" t="inlineStr">
        <is>
          <t xml:space="preserve">  Difference (framework vs cons)</t>
        </is>
      </c>
      <c r="B8" s="49">
        <f>B6/B7-1</f>
        <v/>
      </c>
      <c r="C8" s="49">
        <f>C6/C7-1</f>
        <v/>
      </c>
      <c r="D8" s="49">
        <f>D6/D7-1</f>
        <v/>
      </c>
    </row>
    <row r="10">
      <c r="A10" s="46" t="inlineStr">
        <is>
          <t>Group EBIT (USD m)</t>
        </is>
      </c>
    </row>
    <row r="11">
      <c r="A11" t="inlineStr">
        <is>
          <t xml:space="preserve">  Framework</t>
        </is>
      </c>
      <c r="B11" s="47">
        <f>'Segment Forecasts'!C24</f>
        <v/>
      </c>
      <c r="C11" s="47">
        <f>'Segment Forecasts'!D24</f>
        <v/>
      </c>
      <c r="D11" s="47">
        <f>'Segment Forecasts'!E24</f>
        <v/>
      </c>
    </row>
    <row r="12">
      <c r="A12" t="inlineStr">
        <is>
          <t xml:space="preserve">  Consensus</t>
        </is>
      </c>
      <c r="B12" s="47">
        <f>Assumptions!$B$61</f>
        <v/>
      </c>
      <c r="C12" s="47">
        <f>Assumptions!$B$62</f>
        <v/>
      </c>
      <c r="D12" s="47">
        <f>Assumptions!$B$63</f>
        <v/>
      </c>
    </row>
    <row r="13">
      <c r="A13" s="48" t="inlineStr">
        <is>
          <t xml:space="preserve">  Difference (framework vs cons)</t>
        </is>
      </c>
      <c r="B13" s="49">
        <f>B11/B12-1</f>
        <v/>
      </c>
      <c r="C13" s="49">
        <f>C11/C12-1</f>
        <v/>
      </c>
      <c r="D13" s="49">
        <f>D11/D12-1</f>
        <v/>
      </c>
    </row>
    <row r="15">
      <c r="A15" s="46" t="inlineStr">
        <is>
          <t>NPATA EPS (USD)</t>
        </is>
      </c>
    </row>
    <row r="16">
      <c r="A16" t="inlineStr">
        <is>
          <t xml:space="preserve">  Framework</t>
        </is>
      </c>
      <c r="B16" s="50">
        <f>'Segment Forecasts'!C29/Assumptions!$B$51</f>
        <v/>
      </c>
      <c r="C16" s="50">
        <f>'Segment Forecasts'!D29/Assumptions!$B$51</f>
        <v/>
      </c>
      <c r="D16" s="50">
        <f>'Segment Forecasts'!E29/Assumptions!$B$51</f>
        <v/>
      </c>
    </row>
    <row r="17">
      <c r="A17" t="inlineStr">
        <is>
          <t xml:space="preserve">  Consensus</t>
        </is>
      </c>
      <c r="B17" s="50">
        <f>Assumptions!$B$64</f>
        <v/>
      </c>
      <c r="C17" s="50">
        <f>Assumptions!$B$65</f>
        <v/>
      </c>
    </row>
    <row r="18">
      <c r="A18" s="48" t="inlineStr">
        <is>
          <t xml:space="preserve">  Difference (framework vs cons)</t>
        </is>
      </c>
      <c r="B18" s="49">
        <f>B16/B17-1</f>
        <v/>
      </c>
      <c r="C18" s="49">
        <f>C16/C17-1</f>
        <v/>
      </c>
      <c r="D18" s="51" t="n"/>
    </row>
    <row r="20">
      <c r="A20" s="46" t="inlineStr">
        <is>
          <t>Per-share value vs market</t>
        </is>
      </c>
    </row>
    <row r="21">
      <c r="A21" t="inlineStr">
        <is>
          <t xml:space="preserve">  Framework Muddle Through (USD/share)</t>
        </is>
      </c>
      <c r="B21" s="50">
        <f>'Per-Share Value'!C33</f>
        <v/>
      </c>
    </row>
    <row r="22">
      <c r="A22" t="inlineStr">
        <is>
          <t xml:space="preserve">  Consensus 12m target (USD/share)</t>
        </is>
      </c>
      <c r="B22" s="50">
        <f>Assumptions!$B$66</f>
        <v/>
      </c>
    </row>
    <row r="23">
      <c r="A23" t="inlineStr">
        <is>
          <t xml:space="preserve">  Framework premium to consensus target</t>
        </is>
      </c>
      <c r="B23" s="9">
        <f>B21/B22-1</f>
        <v/>
      </c>
    </row>
    <row r="25">
      <c r="A25" s="40" t="inlineStr">
        <is>
          <t>Read-through</t>
        </is>
      </c>
    </row>
    <row r="26">
      <c r="A26" t="inlineStr">
        <is>
          <t>• Framework is ABOVE consensus on revenue (+6% to +10%) and EBIT (+4% to +17%); gap widens through FY28.</t>
        </is>
      </c>
    </row>
    <row r="27">
      <c r="A27" t="inlineStr">
        <is>
          <t>• Direction differs, not just degree: consensus FY26 revenue -1.1% and normalised EPS -5%; framework +4.9% / +7-10%.</t>
        </is>
      </c>
    </row>
    <row r="28">
      <c r="A28" t="inlineStr">
        <is>
          <t>• Consensus cut hard recently (FY26 EPS 6.90 -&gt; 6.28 over 90 days; 15 downward revisions, 0 up).</t>
        </is>
      </c>
    </row>
    <row r="29">
      <c r="A29" t="inlineStr">
        <is>
          <t>• Near-term divergence driven by Behring 5% CAGR + peer-gap-closure margin uplift; terminal block amplifies into per-share.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2026-06-18T07:46:20Z</dcterms:created>
  <dcterms:modified xmlns:dcterms="http://purl.org/dc/terms/" xmlns:xsi="http://www.w3.org/2001/XMLSchema-instance" xsi:type="dcterms:W3CDTF">2026-06-22T07:11:12Z</dcterms:modified>
</cp:coreProperties>
</file>