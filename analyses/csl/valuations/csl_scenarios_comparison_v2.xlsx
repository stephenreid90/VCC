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arket-Implied (§3.5.7)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S_Orderly" sheetId="4" state="visible" r:id="rId4"/>
    <sheet xmlns:r="http://schemas.openxmlformats.org/officeDocument/2006/relationships" name="S_Muddle" sheetId="5" state="visible" r:id="rId5"/>
    <sheet xmlns:r="http://schemas.openxmlformats.org/officeDocument/2006/relationships" name="S_AI" sheetId="6" state="visible" r:id="rId6"/>
    <sheet xmlns:r="http://schemas.openxmlformats.org/officeDocument/2006/relationships" name="S_Disorderly" sheetId="7" state="visible" r:id="rId7"/>
    <sheet xmlns:r="http://schemas.openxmlformats.org/officeDocument/2006/relationships" name="S_Fragmentation" sheetId="8" state="visible" r:id="rId8"/>
    <sheet xmlns:r="http://schemas.openxmlformats.org/officeDocument/2006/relationships" name="S_Stagflation" sheetId="9" state="visible" r:id="rId9"/>
    <sheet xmlns:r="http://schemas.openxmlformats.org/officeDocument/2006/relationships" name="Not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000"/>
    <numFmt numFmtId="166" formatCode="0.0%"/>
    <numFmt numFmtId="167" formatCode="0.0"/>
    <numFmt numFmtId="168" formatCode="0.000"/>
    <numFmt numFmtId="169" formatCode="0.00&quot;x&quot;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/>
    <font>
      <color rgb="000066CC"/>
    </font>
    <font>
      <i val="1"/>
      <color rgb="00595959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4" borderId="1" pivotButton="0" quotePrefix="0" xfId="0"/>
    <xf numFmtId="0" fontId="0" fillId="0" borderId="1" pivotButton="0" quotePrefix="0" xfId="0"/>
    <xf numFmtId="4" fontId="0" fillId="0" borderId="1" pivotButton="0" quotePrefix="0" xfId="0"/>
    <xf numFmtId="166" fontId="0" fillId="0" borderId="1" pivotButton="0" quotePrefix="0" xfId="0"/>
    <xf numFmtId="0" fontId="0" fillId="3" borderId="1" pivotButton="0" quotePrefix="0" xfId="0"/>
    <xf numFmtId="4" fontId="0" fillId="3" borderId="1" pivotButton="0" quotePrefix="0" xfId="0"/>
    <xf numFmtId="166" fontId="0" fillId="3" borderId="1" pivotButton="0" quotePrefix="0" xfId="0"/>
    <xf numFmtId="0" fontId="2" fillId="0" borderId="0" pivotButton="0" quotePrefix="0" xfId="0"/>
    <xf numFmtId="4" fontId="0" fillId="0" borderId="0" pivotButton="0" quotePrefix="0" xfId="0"/>
    <xf numFmtId="169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  <xf numFmtId="10" fontId="4" fillId="3" borderId="0" pivotButton="0" quotePrefix="0" xfId="0"/>
    <xf numFmtId="164" fontId="4" fillId="3" borderId="0" pivotButton="0" quotePrefix="0" xfId="0"/>
    <xf numFmtId="2" fontId="4" fillId="3" borderId="0" pivotButton="0" quotePrefix="0" xfId="0"/>
    <xf numFmtId="165" fontId="4" fillId="3" borderId="0" pivotButton="0" quotePrefix="0" xfId="0"/>
    <xf numFmtId="4" fontId="4" fillId="3" borderId="0" pivotButton="0" quotePrefix="0" xfId="0"/>
    <xf numFmtId="166" fontId="4" fillId="3" borderId="0" pivotButton="0" quotePrefix="0" xfId="0"/>
    <xf numFmtId="167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CSL Limited — cross-scenario valuation (v2: terminal capex=D&amp;A)</t>
        </is>
      </c>
      <c r="B1" s="1" t="inlineStr"/>
      <c r="C1" s="1" t="inlineStr"/>
      <c r="D1" s="1" t="inlineStr"/>
      <c r="E1" s="1" t="inlineStr"/>
      <c r="F1" s="1" t="inlineStr"/>
      <c r="G1" s="1" t="inlineStr"/>
    </row>
    <row r="2">
      <c r="A2" s="2" t="inlineStr">
        <is>
          <t>Six-scenario distribution • USD functional, AUD at spot • 25 June 2026 • Reid Advisory</t>
        </is>
      </c>
    </row>
    <row r="4">
      <c r="A4" s="3" t="inlineStr">
        <is>
          <t>Scenario</t>
        </is>
      </c>
      <c r="B4" s="3" t="inlineStr">
        <is>
          <t>Per share USD</t>
        </is>
      </c>
      <c r="C4" s="3" t="inlineStr">
        <is>
          <t>Per share AUD</t>
        </is>
      </c>
      <c r="D4" s="3" t="inlineStr">
        <is>
          <t>vs Market</t>
        </is>
      </c>
      <c r="E4" s="3" t="inlineStr">
        <is>
          <t>vs Muddle Through</t>
        </is>
      </c>
      <c r="F4" s="3" t="inlineStr">
        <is>
          <t>Terminal % EV</t>
        </is>
      </c>
    </row>
    <row r="5">
      <c r="A5" s="4" t="inlineStr">
        <is>
          <t>Orderly Convergence</t>
        </is>
      </c>
      <c r="B5" s="5">
        <f>'S_Orderly'!C42</f>
        <v/>
      </c>
      <c r="C5" s="5">
        <f>'S_Orderly'!C43</f>
        <v/>
      </c>
      <c r="D5" s="6">
        <f>'S_Orderly'!C43/Inputs!$B$22-1</f>
        <v/>
      </c>
      <c r="E5" s="6">
        <f>'S_Orderly'!C42/'S_Muddle'!C42-1</f>
        <v/>
      </c>
      <c r="F5" s="6">
        <f>'S_Orderly'!C44</f>
        <v/>
      </c>
    </row>
    <row r="6">
      <c r="A6" s="7" t="inlineStr">
        <is>
          <t>Muddle Through</t>
        </is>
      </c>
      <c r="B6" s="8">
        <f>'S_Muddle'!C42</f>
        <v/>
      </c>
      <c r="C6" s="8">
        <f>'S_Muddle'!C43</f>
        <v/>
      </c>
      <c r="D6" s="9">
        <f>'S_Muddle'!C43/Inputs!$B$22-1</f>
        <v/>
      </c>
      <c r="E6" s="9">
        <f>'S_Muddle'!C42/'S_Muddle'!C42-1</f>
        <v/>
      </c>
      <c r="F6" s="9">
        <f>'S_Muddle'!C44</f>
        <v/>
      </c>
    </row>
    <row r="7">
      <c r="A7" s="4" t="inlineStr">
        <is>
          <t>AI Productivity Lag</t>
        </is>
      </c>
      <c r="B7" s="5">
        <f>'S_AI'!C42</f>
        <v/>
      </c>
      <c r="C7" s="5">
        <f>'S_AI'!C43</f>
        <v/>
      </c>
      <c r="D7" s="6">
        <f>'S_AI'!C43/Inputs!$B$22-1</f>
        <v/>
      </c>
      <c r="E7" s="6">
        <f>'S_AI'!C42/'S_Muddle'!C42-1</f>
        <v/>
      </c>
      <c r="F7" s="6">
        <f>'S_AI'!C44</f>
        <v/>
      </c>
    </row>
    <row r="8">
      <c r="A8" s="4" t="inlineStr">
        <is>
          <t>Disorderly Climate</t>
        </is>
      </c>
      <c r="B8" s="5">
        <f>'S_Disorderly'!C42</f>
        <v/>
      </c>
      <c r="C8" s="5">
        <f>'S_Disorderly'!C43</f>
        <v/>
      </c>
      <c r="D8" s="6">
        <f>'S_Disorderly'!C43/Inputs!$B$22-1</f>
        <v/>
      </c>
      <c r="E8" s="6">
        <f>'S_Disorderly'!C42/'S_Muddle'!C42-1</f>
        <v/>
      </c>
      <c r="F8" s="6">
        <f>'S_Disorderly'!C44</f>
        <v/>
      </c>
    </row>
    <row r="9">
      <c r="A9" s="4" t="inlineStr">
        <is>
          <t>Fragmentation</t>
        </is>
      </c>
      <c r="B9" s="5">
        <f>'S_Fragmentation'!C42</f>
        <v/>
      </c>
      <c r="C9" s="5">
        <f>'S_Fragmentation'!C43</f>
        <v/>
      </c>
      <c r="D9" s="6">
        <f>'S_Fragmentation'!C43/Inputs!$B$22-1</f>
        <v/>
      </c>
      <c r="E9" s="6">
        <f>'S_Fragmentation'!C42/'S_Muddle'!C42-1</f>
        <v/>
      </c>
      <c r="F9" s="6">
        <f>'S_Fragmentation'!C44</f>
        <v/>
      </c>
    </row>
    <row r="10">
      <c r="A10" s="4" t="inlineStr">
        <is>
          <t>Stagflation Persists</t>
        </is>
      </c>
      <c r="B10" s="5">
        <f>'S_Stagflation'!C42</f>
        <v/>
      </c>
      <c r="C10" s="5">
        <f>'S_Stagflation'!C43</f>
        <v/>
      </c>
      <c r="D10" s="6">
        <f>'S_Stagflation'!C43/Inputs!$B$22-1</f>
        <v/>
      </c>
      <c r="E10" s="6">
        <f>'S_Stagflation'!C42/'S_Muddle'!C42-1</f>
        <v/>
      </c>
      <c r="F10" s="6">
        <f>'S_Stagflation'!C44</f>
        <v/>
      </c>
    </row>
    <row r="12">
      <c r="A12" s="10" t="inlineStr">
        <is>
          <t>Upside (Orderly − MT), USD</t>
        </is>
      </c>
      <c r="B12" s="11">
        <f>'S_Orderly'!C42-'S_Muddle'!C42</f>
        <v/>
      </c>
    </row>
    <row r="13">
      <c r="A13" s="10" t="inlineStr">
        <is>
          <t>Downside (MT − Stagflation), USD</t>
        </is>
      </c>
      <c r="B13" s="11">
        <f>'S_Muddle'!C42-'S_Stagflation'!C42</f>
        <v/>
      </c>
    </row>
    <row r="14">
      <c r="A14" s="10" t="inlineStr">
        <is>
          <t>Asymmetry ratio (down/up)</t>
        </is>
      </c>
      <c r="B14" s="12">
        <f>B13/B12</f>
        <v/>
      </c>
    </row>
    <row r="16" ht="58" customHeight="1">
      <c r="A16" s="13" t="inlineStr">
        <is>
          <t>Observation 1 — Defensive shape. Asymmetry ~1.3x: downside modestly exceeds upside, far below DNL's cyclical 4.05x and below WBC's 1.83x. Plasma demand is volume-inelastic, so scenarios transmit through margins (donor-collection wages, energy/carbon cost, payor pricing) and policy, not volumes.</t>
        </is>
      </c>
    </row>
    <row r="17" ht="58" customHeight="1">
      <c r="A17" s="13" t="inlineStr">
        <is>
          <t>Observation 2 — Whole distribution above market. Even Stagflation (~AUD 160) sits well above market (AUD 105.53); Muddle Through is +93%. Per §16 the market is implicitly pricing a state more bearish than the framework's downside boundary. The §3.5.7 tab shows no single plausible lever reconciles to market — it requires a blend of pessimism (or genuine under-pricing).</t>
        </is>
      </c>
    </row>
    <row r="18" ht="58" customHeight="1">
      <c r="A18" s="13" t="inlineStr">
        <is>
          <t>Observation 3 — Terminal-heavy. Terminal value ~74–77% of EV (long-duration compounder at ~30% terminal margin, 3% g, 8.75% Re). v2 fix: terminal capex set = D&amp;A (steady-state), removing the perpetual D&amp;A&gt;capex cash inflation that lifted v1 ~5%.</t>
        </is>
      </c>
    </row>
    <row r="19" ht="58" customHeight="1">
      <c r="A19" s="13" t="inlineStr">
        <is>
          <t>Single discount rate 8.75% (Rf 4.5% + β0.85 × ERP 5.0%) held across all scenarios per the single-WACC discipline; scenario risk is priced in the cash-flow paths, not the rate. β0.85 remains an open sanity-check (a stressed β1.2 → Re10.5% cuts MT ~26%).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  <col width="16" customWidth="1" min="3" max="3"/>
  </cols>
  <sheetData>
    <row r="1">
      <c r="A1" s="1" t="inlineStr">
        <is>
          <t>Market-implied cross-check (§3.5.7) — what must the price believe?</t>
        </is>
      </c>
      <c r="B1" s="1" t="inlineStr"/>
      <c r="C1" s="1" t="inlineStr"/>
    </row>
    <row r="3">
      <c r="A3" s="14" t="inlineStr">
        <is>
          <t>Market price (AUD)</t>
        </is>
      </c>
      <c r="B3" s="11">
        <f>Inputs!B22</f>
        <v/>
      </c>
    </row>
    <row r="4">
      <c r="A4" s="14" t="inlineStr">
        <is>
          <t>Market price (USD/sh)</t>
        </is>
      </c>
      <c r="B4" s="11">
        <f>B3/Inputs!B21</f>
        <v/>
      </c>
    </row>
    <row r="5">
      <c r="A5" s="14" t="inlineStr">
        <is>
          <t>Implied market equity (USD m)</t>
        </is>
      </c>
      <c r="B5" s="15">
        <f>B4*Inputs!B20</f>
        <v/>
      </c>
    </row>
    <row r="6">
      <c r="A6" s="14" t="inlineStr">
        <is>
          <t>Add net debt + restructuring → EV target (USD m)</t>
        </is>
      </c>
      <c r="B6" s="15">
        <f>B5+Inputs!B18+Inputs!B19</f>
        <v/>
      </c>
    </row>
    <row r="8">
      <c r="A8" s="14" t="inlineStr">
        <is>
          <t>Framework MT explicit PV (FY27–31, USD m)</t>
        </is>
      </c>
      <c r="B8" s="15">
        <f>'S_Muddle'!C32</f>
        <v/>
      </c>
    </row>
    <row r="9">
      <c r="A9" s="14" t="inlineStr">
        <is>
          <t>→ Required terminal PV to hit market (USD m)</t>
        </is>
      </c>
      <c r="B9" s="15">
        <f>B6-B8</f>
        <v/>
      </c>
    </row>
    <row r="10">
      <c r="A10" s="14" t="inlineStr">
        <is>
          <t>Framework MT terminal PV (USD m)</t>
        </is>
      </c>
      <c r="B10" s="15">
        <f>'S_Muddle'!C36</f>
        <v/>
      </c>
    </row>
    <row r="11">
      <c r="A11" s="14" t="inlineStr">
        <is>
          <t>Market needs terminal PV as % of framework's</t>
        </is>
      </c>
      <c r="B11" s="16">
        <f>B9/B10</f>
        <v/>
      </c>
    </row>
    <row r="13">
      <c r="A13" s="14" t="inlineStr">
        <is>
          <t>Required terminal value (USD m) = reqTermPV ÷ df5</t>
        </is>
      </c>
      <c r="B13" s="15">
        <f>B9/'S_Muddle'!C35</f>
        <v/>
      </c>
    </row>
    <row r="14">
      <c r="A14" s="14" t="inlineStr">
        <is>
          <t>Required terminal FCFF = reqTV × (Re − g)</t>
        </is>
      </c>
      <c r="B14" s="15">
        <f>B13*(Inputs!B23-Inputs!D38)</f>
        <v/>
      </c>
    </row>
    <row r="15">
      <c r="A15" s="10" t="inlineStr">
        <is>
          <t>IMPLIED terminal EBIT margin (live formula)</t>
        </is>
      </c>
      <c r="B15" s="17">
        <f>(B14/(1+Inputs!D38)-'S_Muddle'!H17*(Inputs!B12-Inputs!B13-Inputs!D38*Inputs!B14))/('S_Muddle'!H17*(1-Inputs!D39))</f>
        <v/>
      </c>
    </row>
    <row r="16">
      <c r="A16" s="14" t="inlineStr">
        <is>
          <t xml:space="preserve">   vs framework terminal margin</t>
        </is>
      </c>
      <c r="B16" s="17">
        <f>Inputs!D37</f>
        <v/>
      </c>
    </row>
    <row r="18">
      <c r="A18" s="10" t="inlineStr">
        <is>
          <t>Single-lever market-implied values (goal-seek; all else at MT):</t>
        </is>
      </c>
    </row>
    <row r="19">
      <c r="A19" s="14" t="inlineStr">
        <is>
          <t>Implied cost of equity Re  [goal-seek]</t>
        </is>
      </c>
      <c r="B19" s="18" t="n">
        <v>0.1305</v>
      </c>
      <c r="C19" s="14" t="inlineStr">
        <is>
          <t>⇒ beta ≈ 1.71  (we use 8.75% / beta 0.85)</t>
        </is>
      </c>
    </row>
    <row r="20">
      <c r="A20" s="14" t="inlineStr">
        <is>
          <t>Implied terminal EBIT margin  [goal-seek]</t>
        </is>
      </c>
      <c r="B20" s="18" t="n">
        <v>0.135</v>
      </c>
      <c r="C20" s="14" t="inlineStr">
        <is>
          <t>(we use 30.0%; FY25 actual 27.5%)</t>
        </is>
      </c>
    </row>
    <row r="21">
      <c r="A21" s="14" t="inlineStr">
        <is>
          <t>Implied terminal growth g  [goal-seek]</t>
        </is>
      </c>
      <c r="B21" s="18" t="n">
        <v>-0.041</v>
      </c>
      <c r="C21" s="14" t="inlineStr">
        <is>
          <t>(we use 3.0%; implies perpetual contraction)</t>
        </is>
      </c>
    </row>
    <row r="23">
      <c r="A23" s="10" t="inlineStr">
        <is>
          <t>Read-through</t>
        </is>
      </c>
    </row>
    <row r="24" ht="44" customHeight="1">
      <c r="A24" s="13" t="inlineStr">
        <is>
          <t>No single lever at a plausible value reconciles to the market price: it needs β≈1.7–1.8, OR a terminal margin near half the FY25 level, OR perpetual contraction. The price is therefore a blend of pessimism across discount rate, margin and growth — or the franchise is genuinely under-priced.</t>
        </is>
      </c>
    </row>
    <row r="25" ht="44" customHeight="1">
      <c r="A25" s="13" t="inlineStr">
        <is>
          <t>The live implied-margin formula (B15) and the goal-seek Re/g are documented outputs, not model inputs — they read the market, they don't drive the DCF.</t>
        </is>
      </c>
    </row>
    <row r="26" ht="44" customHeight="1">
      <c r="A26" s="13" t="inlineStr">
        <is>
          <t>Disciplined next step: decide which framework inputs to move on their own merits (β / cost of equity is the strongest candidate), rather than re-tuning to match the market (§16: gaps are informative, not errors).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CSL scenarios — shared base + per-scenario drivers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2">
      <c r="A2" s="10" t="inlineStr">
        <is>
          <t>Shared base (identical across scenarios)</t>
        </is>
      </c>
    </row>
    <row r="3">
      <c r="A3" s="14" t="inlineStr">
        <is>
          <t>Behring revenue FY25 (USD m)</t>
        </is>
      </c>
      <c r="B3" s="19" t="n">
        <v>11158</v>
      </c>
    </row>
    <row r="4">
      <c r="A4" s="14" t="inlineStr">
        <is>
          <t>Seqirus revenue FY25 (USD m)</t>
        </is>
      </c>
      <c r="B4" s="19" t="n">
        <v>2166</v>
      </c>
    </row>
    <row r="5">
      <c r="A5" s="14" t="inlineStr">
        <is>
          <t>Vifor revenue FY25 (USD m)</t>
        </is>
      </c>
      <c r="B5" s="19" t="n">
        <v>2234</v>
      </c>
    </row>
    <row r="6">
      <c r="A6" s="14" t="inlineStr">
        <is>
          <t>Group revenue FY25 (USD m)</t>
        </is>
      </c>
      <c r="B6" s="19" t="n">
        <v>15558</v>
      </c>
    </row>
    <row r="7">
      <c r="A7" s="14" t="inlineStr">
        <is>
          <t>Behring OR margin FY25</t>
        </is>
      </c>
      <c r="B7" s="18" t="n">
        <v>0.422</v>
      </c>
    </row>
    <row r="8">
      <c r="A8" s="14" t="inlineStr">
        <is>
          <t>Seqirus OR margin FY25</t>
        </is>
      </c>
      <c r="B8" s="18" t="n">
        <v>0.474</v>
      </c>
    </row>
    <row r="9">
      <c r="A9" s="14" t="inlineStr">
        <is>
          <t>Vifor OR margin FY25</t>
        </is>
      </c>
      <c r="B9" s="18" t="n">
        <v>0.491</v>
      </c>
    </row>
    <row r="10">
      <c r="A10" s="14" t="inlineStr">
        <is>
          <t>Corporate/unalloc FY25 (USD m)</t>
        </is>
      </c>
      <c r="B10" s="19" t="n">
        <v>-2559</v>
      </c>
    </row>
    <row r="11">
      <c r="A11" s="14" t="inlineStr">
        <is>
          <t>Capex / revenue</t>
        </is>
      </c>
      <c r="B11" s="18" t="n">
        <v>0.045</v>
      </c>
    </row>
    <row r="12">
      <c r="A12" s="14" t="inlineStr">
        <is>
          <t>D&amp;A / revenue</t>
        </is>
      </c>
      <c r="B12" s="18" t="n">
        <v>0.06</v>
      </c>
    </row>
    <row r="13">
      <c r="A13" s="14" t="inlineStr">
        <is>
          <t>Terminal capex / revenue (=D&amp;A, steady state)</t>
        </is>
      </c>
      <c r="B13" s="18" t="n">
        <v>0.06</v>
      </c>
    </row>
    <row r="14">
      <c r="A14" s="14" t="inlineStr">
        <is>
          <t>Working-capital change / Δrevenue</t>
        </is>
      </c>
      <c r="B14" s="18" t="n">
        <v>0.1</v>
      </c>
    </row>
    <row r="15">
      <c r="A15" s="14" t="inlineStr">
        <is>
          <t>Risk-free rate (10y UST)</t>
        </is>
      </c>
      <c r="B15" s="18" t="n">
        <v>0.045</v>
      </c>
    </row>
    <row r="16">
      <c r="A16" s="14" t="inlineStr">
        <is>
          <t>Equity risk premium</t>
        </is>
      </c>
      <c r="B16" s="18" t="n">
        <v>0.05</v>
      </c>
    </row>
    <row r="17">
      <c r="A17" s="14" t="inlineStr">
        <is>
          <t>Beta (peer-triangulated)</t>
        </is>
      </c>
      <c r="B17" s="20" t="n">
        <v>0.85</v>
      </c>
    </row>
    <row r="18">
      <c r="A18" s="14" t="inlineStr">
        <is>
          <t>Net debt at anchor (USD m)</t>
        </is>
      </c>
      <c r="B18" s="19" t="n">
        <v>9100</v>
      </c>
    </row>
    <row r="19">
      <c r="A19" s="14" t="inlineStr">
        <is>
          <t>Restructuring cash to come (USD m)</t>
        </is>
      </c>
      <c r="B19" s="19" t="n">
        <v>507</v>
      </c>
    </row>
    <row r="20">
      <c r="A20" s="14" t="inlineStr">
        <is>
          <t>Shares outstanding (m)</t>
        </is>
      </c>
      <c r="B20" s="19" t="n">
        <v>478.9</v>
      </c>
    </row>
    <row r="21">
      <c r="A21" s="14" t="inlineStr">
        <is>
          <t>Spot FX (AUD per USD)</t>
        </is>
      </c>
      <c r="B21" s="21" t="n">
        <v>1.5152</v>
      </c>
    </row>
    <row r="22">
      <c r="A22" s="14" t="inlineStr">
        <is>
          <t>Market price (AUD)</t>
        </is>
      </c>
      <c r="B22" s="22" t="n">
        <v>105.53</v>
      </c>
    </row>
    <row r="23">
      <c r="A23" s="14" t="inlineStr">
        <is>
          <t>Cost of equity Re = Rf + beta x ERP (derived)</t>
        </is>
      </c>
      <c r="B23" s="17">
        <f>B15+B17*B16</f>
        <v/>
      </c>
    </row>
    <row r="25">
      <c r="A25" s="1" t="inlineStr">
        <is>
          <t>Driver</t>
        </is>
      </c>
      <c r="C25" s="1" t="inlineStr">
        <is>
          <t>Orderly Convergence</t>
        </is>
      </c>
      <c r="D25" s="1" t="inlineStr">
        <is>
          <t>Muddle Through</t>
        </is>
      </c>
      <c r="E25" s="1" t="inlineStr">
        <is>
          <t>AI Productivity Lag</t>
        </is>
      </c>
      <c r="F25" s="1" t="inlineStr">
        <is>
          <t>Disorderly Climate</t>
        </is>
      </c>
      <c r="G25" s="1" t="inlineStr">
        <is>
          <t>Fragmentation</t>
        </is>
      </c>
      <c r="H25" s="1" t="inlineStr">
        <is>
          <t>Stagflation Persists</t>
        </is>
      </c>
    </row>
    <row r="26">
      <c r="A26" s="14" t="inlineStr">
        <is>
          <t>Behring growth FY26</t>
        </is>
      </c>
      <c r="C26" s="23" t="n">
        <v>-0.005</v>
      </c>
      <c r="D26" s="23" t="n">
        <v>-0.01</v>
      </c>
      <c r="E26" s="23" t="n">
        <v>-0.01</v>
      </c>
      <c r="F26" s="23" t="n">
        <v>-0.01</v>
      </c>
      <c r="G26" s="23" t="n">
        <v>-0.015</v>
      </c>
      <c r="H26" s="23" t="n">
        <v>-0.015</v>
      </c>
    </row>
    <row r="27">
      <c r="A27" s="14" t="inlineStr">
        <is>
          <t>Behring growth FY27</t>
        </is>
      </c>
      <c r="C27" s="23" t="n">
        <v>0.04</v>
      </c>
      <c r="D27" s="23" t="n">
        <v>0.025</v>
      </c>
      <c r="E27" s="23" t="n">
        <v>0.025</v>
      </c>
      <c r="F27" s="23" t="n">
        <v>0.02</v>
      </c>
      <c r="G27" s="23" t="n">
        <v>0.015</v>
      </c>
      <c r="H27" s="23" t="n">
        <v>0.01</v>
      </c>
    </row>
    <row r="28">
      <c r="A28" s="14" t="inlineStr">
        <is>
          <t>Behring growth FY28</t>
        </is>
      </c>
      <c r="C28" s="23" t="n">
        <v>0.055</v>
      </c>
      <c r="D28" s="23" t="n">
        <v>0.045</v>
      </c>
      <c r="E28" s="23" t="n">
        <v>0.045</v>
      </c>
      <c r="F28" s="23" t="n">
        <v>0.035</v>
      </c>
      <c r="G28" s="23" t="n">
        <v>0.03</v>
      </c>
      <c r="H28" s="23" t="n">
        <v>0.025</v>
      </c>
    </row>
    <row r="29">
      <c r="A29" s="14" t="inlineStr">
        <is>
          <t>Behring growth FY29</t>
        </is>
      </c>
      <c r="C29" s="23" t="n">
        <v>0.065</v>
      </c>
      <c r="D29" s="23" t="n">
        <v>0.055</v>
      </c>
      <c r="E29" s="23" t="n">
        <v>0.05</v>
      </c>
      <c r="F29" s="23" t="n">
        <v>0.045</v>
      </c>
      <c r="G29" s="23" t="n">
        <v>0.04</v>
      </c>
      <c r="H29" s="23" t="n">
        <v>0.035</v>
      </c>
    </row>
    <row r="30">
      <c r="A30" s="14" t="inlineStr">
        <is>
          <t>Behring growth FY30</t>
        </is>
      </c>
      <c r="C30" s="23" t="n">
        <v>0.065</v>
      </c>
      <c r="D30" s="23" t="n">
        <v>0.055</v>
      </c>
      <c r="E30" s="23" t="n">
        <v>0.05</v>
      </c>
      <c r="F30" s="23" t="n">
        <v>0.045</v>
      </c>
      <c r="G30" s="23" t="n">
        <v>0.04</v>
      </c>
      <c r="H30" s="23" t="n">
        <v>0.035</v>
      </c>
    </row>
    <row r="31">
      <c r="A31" s="14" t="inlineStr">
        <is>
          <t>Behring growth FY31</t>
        </is>
      </c>
      <c r="C31" s="23" t="n">
        <v>0.065</v>
      </c>
      <c r="D31" s="23" t="n">
        <v>0.055</v>
      </c>
      <c r="E31" s="23" t="n">
        <v>0.05</v>
      </c>
      <c r="F31" s="23" t="n">
        <v>0.045</v>
      </c>
      <c r="G31" s="23" t="n">
        <v>0.04</v>
      </c>
      <c r="H31" s="23" t="n">
        <v>0.035</v>
      </c>
    </row>
    <row r="32">
      <c r="A32" s="14" t="inlineStr">
        <is>
          <t>Seqirus revenue CAGR</t>
        </is>
      </c>
      <c r="C32" s="23" t="n">
        <v>0.025</v>
      </c>
      <c r="D32" s="23" t="n">
        <v>0.02</v>
      </c>
      <c r="E32" s="23" t="n">
        <v>0.02</v>
      </c>
      <c r="F32" s="23" t="n">
        <v>0.03</v>
      </c>
      <c r="G32" s="23" t="n">
        <v>0.015</v>
      </c>
      <c r="H32" s="23" t="n">
        <v>0.01</v>
      </c>
    </row>
    <row r="33">
      <c r="A33" s="14" t="inlineStr">
        <is>
          <t>Vifor revenue CAGR</t>
        </is>
      </c>
      <c r="C33" s="23" t="n">
        <v>0.08500000000000001</v>
      </c>
      <c r="D33" s="23" t="n">
        <v>0.07000000000000001</v>
      </c>
      <c r="E33" s="23" t="n">
        <v>0.065</v>
      </c>
      <c r="F33" s="23" t="n">
        <v>0.05</v>
      </c>
      <c r="G33" s="23" t="n">
        <v>0.055</v>
      </c>
      <c r="H33" s="23" t="n">
        <v>0.04</v>
      </c>
    </row>
    <row r="34">
      <c r="A34" s="14" t="inlineStr">
        <is>
          <t>Behring margin uplift (cum, FY31)</t>
        </is>
      </c>
      <c r="C34" s="18" t="n">
        <v>0.025</v>
      </c>
      <c r="D34" s="18" t="n">
        <v>0.015</v>
      </c>
      <c r="E34" s="18" t="n">
        <v>0.0175</v>
      </c>
      <c r="F34" s="18" t="n">
        <v>-0.005</v>
      </c>
      <c r="G34" s="18" t="n">
        <v>0</v>
      </c>
      <c r="H34" s="18" t="n">
        <v>-0.015</v>
      </c>
    </row>
    <row r="35">
      <c r="A35" s="14" t="inlineStr">
        <is>
          <t>Seqirus margin uplift (cum, FY31)</t>
        </is>
      </c>
      <c r="C35" s="18" t="n">
        <v>0.015</v>
      </c>
      <c r="D35" s="18" t="n">
        <v>0.01</v>
      </c>
      <c r="E35" s="18" t="n">
        <v>0.01</v>
      </c>
      <c r="F35" s="18" t="n">
        <v>0.005</v>
      </c>
      <c r="G35" s="18" t="n">
        <v>0</v>
      </c>
      <c r="H35" s="18" t="n">
        <v>-0.005</v>
      </c>
    </row>
    <row r="36">
      <c r="A36" s="14" t="inlineStr">
        <is>
          <t>Vifor margin uplift (cum, FY31)</t>
        </is>
      </c>
      <c r="C36" s="18" t="n">
        <v>0.015</v>
      </c>
      <c r="D36" s="18" t="n">
        <v>0.01</v>
      </c>
      <c r="E36" s="18" t="n">
        <v>0.01</v>
      </c>
      <c r="F36" s="18" t="n">
        <v>0</v>
      </c>
      <c r="G36" s="18" t="n">
        <v>0</v>
      </c>
      <c r="H36" s="18" t="n">
        <v>-0.005</v>
      </c>
    </row>
    <row r="37">
      <c r="A37" s="14" t="inlineStr">
        <is>
          <t>Terminal EBIT margin</t>
        </is>
      </c>
      <c r="C37" s="18" t="n">
        <v>0.315</v>
      </c>
      <c r="D37" s="18" t="n">
        <v>0.3</v>
      </c>
      <c r="E37" s="18" t="n">
        <v>0.3025</v>
      </c>
      <c r="F37" s="18" t="n">
        <v>0.28</v>
      </c>
      <c r="G37" s="18" t="n">
        <v>0.282</v>
      </c>
      <c r="H37" s="18" t="n">
        <v>0.265</v>
      </c>
    </row>
    <row r="38">
      <c r="A38" s="14" t="inlineStr">
        <is>
          <t>Terminal growth g</t>
        </is>
      </c>
      <c r="C38" s="18" t="n">
        <v>0.0325</v>
      </c>
      <c r="D38" s="18" t="n">
        <v>0.03</v>
      </c>
      <c r="E38" s="18" t="n">
        <v>0.02875</v>
      </c>
      <c r="F38" s="18" t="n">
        <v>0.0275</v>
      </c>
      <c r="G38" s="18" t="n">
        <v>0.0275</v>
      </c>
      <c r="H38" s="18" t="n">
        <v>0.03</v>
      </c>
    </row>
    <row r="39">
      <c r="A39" s="14" t="inlineStr">
        <is>
          <t>Effective tax rate</t>
        </is>
      </c>
      <c r="C39" s="18" t="n">
        <v>0.19</v>
      </c>
      <c r="D39" s="18" t="n">
        <v>0.19</v>
      </c>
      <c r="E39" s="18" t="n">
        <v>0.19</v>
      </c>
      <c r="F39" s="18" t="n">
        <v>0.19</v>
      </c>
      <c r="G39" s="18" t="n">
        <v>0.2</v>
      </c>
      <c r="H39" s="18" t="n">
        <v>0.19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Orderly Convergence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15">
        <f>Inputs!$B$3</f>
        <v/>
      </c>
      <c r="C5" s="15">
        <f>B5*(1+Inputs!$C$26)</f>
        <v/>
      </c>
      <c r="D5" s="15">
        <f>C5*(1+Inputs!$C$27)</f>
        <v/>
      </c>
      <c r="E5" s="15">
        <f>D5*(1+Inputs!$C$28)</f>
        <v/>
      </c>
      <c r="F5" s="15">
        <f>E5*(1+Inputs!$C$29)</f>
        <v/>
      </c>
      <c r="G5" s="15">
        <f>F5*(1+Inputs!$C$30)</f>
        <v/>
      </c>
      <c r="H5" s="15">
        <f>G5*(1+Inputs!$C$31)</f>
        <v/>
      </c>
    </row>
    <row r="6">
      <c r="A6" s="14" t="inlineStr">
        <is>
          <t>Behring OR margin</t>
        </is>
      </c>
      <c r="B6" s="17">
        <f>Inputs!$B$7</f>
        <v/>
      </c>
      <c r="C6" s="17">
        <f>Inputs!$B$7+Inputs!$C$34*(1/6)</f>
        <v/>
      </c>
      <c r="D6" s="17">
        <f>Inputs!$B$7+Inputs!$C$34*(2/6)</f>
        <v/>
      </c>
      <c r="E6" s="17">
        <f>Inputs!$B$7+Inputs!$C$34*(3/6)</f>
        <v/>
      </c>
      <c r="F6" s="17">
        <f>Inputs!$B$7+Inputs!$C$34*(4/6)</f>
        <v/>
      </c>
      <c r="G6" s="17">
        <f>Inputs!$B$7+Inputs!$C$34*(5/6)</f>
        <v/>
      </c>
      <c r="H6" s="17">
        <f>Inputs!$B$7+Inputs!$C$34*(6/6)</f>
        <v/>
      </c>
    </row>
    <row r="7">
      <c r="A7" s="14" t="inlineStr">
        <is>
          <t>Behring OR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9">
      <c r="A9" s="14" t="inlineStr">
        <is>
          <t>Seqirus revenue</t>
        </is>
      </c>
      <c r="B9" s="15">
        <f>Inputs!$B$4</f>
        <v/>
      </c>
      <c r="C9" s="15">
        <f>B9*(1+Inputs!$C$32)</f>
        <v/>
      </c>
      <c r="D9" s="15">
        <f>C9*(1+Inputs!$C$32)</f>
        <v/>
      </c>
      <c r="E9" s="15">
        <f>D9*(1+Inputs!$C$32)</f>
        <v/>
      </c>
      <c r="F9" s="15">
        <f>E9*(1+Inputs!$C$32)</f>
        <v/>
      </c>
      <c r="G9" s="15">
        <f>F9*(1+Inputs!$C$32)</f>
        <v/>
      </c>
      <c r="H9" s="15">
        <f>G9*(1+Inputs!$C$32)</f>
        <v/>
      </c>
    </row>
    <row r="10">
      <c r="A10" s="14" t="inlineStr">
        <is>
          <t>Seqirus OR margin</t>
        </is>
      </c>
      <c r="B10" s="17">
        <f>Inputs!$B$8</f>
        <v/>
      </c>
      <c r="C10" s="17">
        <f>Inputs!$B$8+Inputs!$C$35*(1/6)</f>
        <v/>
      </c>
      <c r="D10" s="17">
        <f>Inputs!$B$8+Inputs!$C$35*(2/6)</f>
        <v/>
      </c>
      <c r="E10" s="17">
        <f>Inputs!$B$8+Inputs!$C$35*(3/6)</f>
        <v/>
      </c>
      <c r="F10" s="17">
        <f>Inputs!$B$8+Inputs!$C$35*(4/6)</f>
        <v/>
      </c>
      <c r="G10" s="17">
        <f>Inputs!$B$8+Inputs!$C$35*(5/6)</f>
        <v/>
      </c>
      <c r="H10" s="17">
        <f>Inputs!$B$8+Inputs!$C$35*(6/6)</f>
        <v/>
      </c>
    </row>
    <row r="11">
      <c r="A11" s="14" t="inlineStr">
        <is>
          <t>Seqirus OR</t>
        </is>
      </c>
      <c r="B11" s="15">
        <f>B9*B10</f>
        <v/>
      </c>
      <c r="C11" s="15">
        <f>C9*C10</f>
        <v/>
      </c>
      <c r="D11" s="15">
        <f>D9*D10</f>
        <v/>
      </c>
      <c r="E11" s="15">
        <f>E9*E10</f>
        <v/>
      </c>
      <c r="F11" s="15">
        <f>F9*F10</f>
        <v/>
      </c>
      <c r="G11" s="15">
        <f>G9*G10</f>
        <v/>
      </c>
      <c r="H11" s="15">
        <f>H9*H10</f>
        <v/>
      </c>
    </row>
    <row r="13">
      <c r="A13" s="14" t="inlineStr">
        <is>
          <t>Vifor revenue</t>
        </is>
      </c>
      <c r="B13" s="15">
        <f>Inputs!$B$5</f>
        <v/>
      </c>
      <c r="C13" s="15">
        <f>B13*(1+Inputs!$C$33)</f>
        <v/>
      </c>
      <c r="D13" s="15">
        <f>C13*(1+Inputs!$C$33)</f>
        <v/>
      </c>
      <c r="E13" s="15">
        <f>D13*(1+Inputs!$C$33)</f>
        <v/>
      </c>
      <c r="F13" s="15">
        <f>E13*(1+Inputs!$C$33)</f>
        <v/>
      </c>
      <c r="G13" s="15">
        <f>F13*(1+Inputs!$C$33)</f>
        <v/>
      </c>
      <c r="H13" s="15">
        <f>G13*(1+Inputs!$C$33)</f>
        <v/>
      </c>
    </row>
    <row r="14">
      <c r="A14" s="14" t="inlineStr">
        <is>
          <t>Vifor OR margin</t>
        </is>
      </c>
      <c r="B14" s="17">
        <f>Inputs!$B$9</f>
        <v/>
      </c>
      <c r="C14" s="17">
        <f>Inputs!$B$9+Inputs!$C$36*(1/6)</f>
        <v/>
      </c>
      <c r="D14" s="17">
        <f>Inputs!$B$9+Inputs!$C$36*(2/6)</f>
        <v/>
      </c>
      <c r="E14" s="17">
        <f>Inputs!$B$9+Inputs!$C$36*(3/6)</f>
        <v/>
      </c>
      <c r="F14" s="17">
        <f>Inputs!$B$9+Inputs!$C$36*(4/6)</f>
        <v/>
      </c>
      <c r="G14" s="17">
        <f>Inputs!$B$9+Inputs!$C$36*(5/6)</f>
        <v/>
      </c>
      <c r="H14" s="17">
        <f>Inputs!$B$9+Inputs!$C$36*(6/6)</f>
        <v/>
      </c>
    </row>
    <row r="15">
      <c r="A15" s="14" t="inlineStr">
        <is>
          <t>Vifor OR</t>
        </is>
      </c>
      <c r="B15" s="15">
        <f>B13*B14</f>
        <v/>
      </c>
      <c r="C15" s="15">
        <f>C13*C14</f>
        <v/>
      </c>
      <c r="D15" s="15">
        <f>D13*D14</f>
        <v/>
      </c>
      <c r="E15" s="15">
        <f>E13*E14</f>
        <v/>
      </c>
      <c r="F15" s="15">
        <f>F13*F14</f>
        <v/>
      </c>
      <c r="G15" s="15">
        <f>G13*G14</f>
        <v/>
      </c>
      <c r="H15" s="15">
        <f>H13*H14</f>
        <v/>
      </c>
    </row>
    <row r="17">
      <c r="A17" s="10" t="inlineStr">
        <is>
          <t>Group revenue</t>
        </is>
      </c>
      <c r="B17" s="15">
        <f>B5+B9+B13</f>
        <v/>
      </c>
      <c r="C17" s="15">
        <f>C5+C9+C13</f>
        <v/>
      </c>
      <c r="D17" s="15">
        <f>D5+D9+D13</f>
        <v/>
      </c>
      <c r="E17" s="15">
        <f>E5+E9+E13</f>
        <v/>
      </c>
      <c r="F17" s="15">
        <f>F5+F9+F13</f>
        <v/>
      </c>
      <c r="G17" s="15">
        <f>G5+G9+G13</f>
        <v/>
      </c>
      <c r="H17" s="15">
        <f>H5+H9+H13</f>
        <v/>
      </c>
    </row>
    <row r="18">
      <c r="A18" s="14" t="inlineStr">
        <is>
          <t>Segment OR (sum)</t>
        </is>
      </c>
      <c r="B18" s="15">
        <f>B7+B11+B15</f>
        <v/>
      </c>
      <c r="C18" s="15">
        <f>C7+C11+C15</f>
        <v/>
      </c>
      <c r="D18" s="15">
        <f>D7+D11+D15</f>
        <v/>
      </c>
      <c r="E18" s="15">
        <f>E7+E11+E15</f>
        <v/>
      </c>
      <c r="F18" s="15">
        <f>F7+F11+F15</f>
        <v/>
      </c>
      <c r="G18" s="15">
        <f>G7+G11+G15</f>
        <v/>
      </c>
      <c r="H18" s="15">
        <f>H7+H11+H15</f>
        <v/>
      </c>
    </row>
    <row r="19">
      <c r="A19" s="14" t="inlineStr">
        <is>
          <t>Corporate / unalloc</t>
        </is>
      </c>
      <c r="B19" s="15">
        <f>Inputs!$B$10</f>
        <v/>
      </c>
      <c r="C19" s="15">
        <f>Inputs!$B$10*(1.005^1)</f>
        <v/>
      </c>
      <c r="D19" s="15">
        <f>Inputs!$B$10*(1.005^2)</f>
        <v/>
      </c>
      <c r="E19" s="15">
        <f>Inputs!$B$10*(1.005^3)</f>
        <v/>
      </c>
      <c r="F19" s="15">
        <f>Inputs!$B$10*(1.005^4)</f>
        <v/>
      </c>
      <c r="G19" s="15">
        <f>Inputs!$B$10*(1.005^5)</f>
        <v/>
      </c>
      <c r="H19" s="15">
        <f>Inputs!$B$10*(1.005^6)</f>
        <v/>
      </c>
    </row>
    <row r="20">
      <c r="A20" s="10" t="inlineStr">
        <is>
          <t>Group EBIT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</row>
    <row r="21">
      <c r="A21" s="14" t="inlineStr">
        <is>
          <t>Group EBIT margin (memo)</t>
        </is>
      </c>
      <c r="B21" s="17">
        <f>B20/B17</f>
        <v/>
      </c>
      <c r="C21" s="17">
        <f>C20/C17</f>
        <v/>
      </c>
      <c r="D21" s="17">
        <f>D20/D17</f>
        <v/>
      </c>
      <c r="E21" s="17">
        <f>E20/E17</f>
        <v/>
      </c>
      <c r="F21" s="17">
        <f>F20/F17</f>
        <v/>
      </c>
      <c r="G21" s="17">
        <f>G20/G17</f>
        <v/>
      </c>
      <c r="H21" s="17">
        <f>H20/H17</f>
        <v/>
      </c>
    </row>
    <row r="23">
      <c r="A23" s="14" t="inlineStr">
        <is>
          <t>NOPAT = EBIT x (1-tax)</t>
        </is>
      </c>
      <c r="C23" s="15">
        <f>C20*(1-Inputs!$C$39)</f>
        <v/>
      </c>
      <c r="D23" s="15">
        <f>D20*(1-Inputs!$C$39)</f>
        <v/>
      </c>
      <c r="E23" s="15">
        <f>E20*(1-Inputs!$C$39)</f>
        <v/>
      </c>
      <c r="F23" s="15">
        <f>F20*(1-Inputs!$C$39)</f>
        <v/>
      </c>
      <c r="G23" s="15">
        <f>G20*(1-Inputs!$C$39)</f>
        <v/>
      </c>
      <c r="H23" s="15">
        <f>H20*(1-Inputs!$C$39)</f>
        <v/>
      </c>
    </row>
    <row r="24">
      <c r="A24" s="14" t="inlineStr">
        <is>
          <t>Plus: D&amp;A</t>
        </is>
      </c>
      <c r="C24" s="15">
        <f>C17*Inputs!$B$12</f>
        <v/>
      </c>
      <c r="D24" s="15">
        <f>D17*Inputs!$B$12</f>
        <v/>
      </c>
      <c r="E24" s="15">
        <f>E17*Inputs!$B$12</f>
        <v/>
      </c>
      <c r="F24" s="15">
        <f>F17*Inputs!$B$12</f>
        <v/>
      </c>
      <c r="G24" s="15">
        <f>G17*Inputs!$B$12</f>
        <v/>
      </c>
      <c r="H24" s="15">
        <f>H17*Inputs!$B$12</f>
        <v/>
      </c>
    </row>
    <row r="25">
      <c r="A25" s="14" t="inlineStr">
        <is>
          <t>Less: capex (explicit yrs)</t>
        </is>
      </c>
      <c r="C25" s="15">
        <f>-C17*Inputs!$B$11</f>
        <v/>
      </c>
      <c r="D25" s="15">
        <f>-D17*Inputs!$B$11</f>
        <v/>
      </c>
      <c r="E25" s="15">
        <f>-E17*Inputs!$B$11</f>
        <v/>
      </c>
      <c r="F25" s="15">
        <f>-F17*Inputs!$B$11</f>
        <v/>
      </c>
      <c r="G25" s="15">
        <f>-G17*Inputs!$B$11</f>
        <v/>
      </c>
      <c r="H25" s="15">
        <f>-H17*Inputs!$B$11</f>
        <v/>
      </c>
    </row>
    <row r="26">
      <c r="A26" s="14" t="inlineStr">
        <is>
          <t>Less: WC change</t>
        </is>
      </c>
      <c r="C26" s="15">
        <f>-(C17-B17)*Inputs!$B$14</f>
        <v/>
      </c>
      <c r="D26" s="15">
        <f>-(D17-C17)*Inputs!$B$14</f>
        <v/>
      </c>
      <c r="E26" s="15">
        <f>-(E17-D17)*Inputs!$B$14</f>
        <v/>
      </c>
      <c r="F26" s="15">
        <f>-(F17-E17)*Inputs!$B$14</f>
        <v/>
      </c>
      <c r="G26" s="15">
        <f>-(G17-F17)*Inputs!$B$14</f>
        <v/>
      </c>
      <c r="H26" s="15">
        <f>-(H17-G17)*Inputs!$B$14</f>
        <v/>
      </c>
    </row>
    <row r="27">
      <c r="A27" s="10" t="inlineStr">
        <is>
          <t>FCFF</t>
        </is>
      </c>
      <c r="C27" s="15">
        <f>C23+C24+C25+C26</f>
        <v/>
      </c>
      <c r="D27" s="15">
        <f>D23+D24+D25+D26</f>
        <v/>
      </c>
      <c r="E27" s="15">
        <f>E23+E24+E25+E26</f>
        <v/>
      </c>
      <c r="F27" s="15">
        <f>F23+F24+F25+F26</f>
        <v/>
      </c>
      <c r="G27" s="15">
        <f>G23+G24+G25+G26</f>
        <v/>
      </c>
      <c r="H27" s="15">
        <f>H23+H24+H25+H26</f>
        <v/>
      </c>
    </row>
    <row r="28">
      <c r="A28" s="14" t="inlineStr">
        <is>
          <t>Mid-period t (FY26 excl.)</t>
        </is>
      </c>
      <c r="C28" s="24" t="n">
        <v>0</v>
      </c>
      <c r="D28" s="24" t="n">
        <v>0.5</v>
      </c>
      <c r="E28" s="24" t="n">
        <v>1.5</v>
      </c>
      <c r="F28" s="24" t="n">
        <v>2.5</v>
      </c>
      <c r="G28" s="24" t="n">
        <v>3.5</v>
      </c>
      <c r="H28" s="24" t="n">
        <v>4.5</v>
      </c>
    </row>
    <row r="29">
      <c r="A29" s="14" t="inlineStr">
        <is>
          <t>Discount factor</t>
        </is>
      </c>
      <c r="C29" s="25">
        <f>1/(1+Inputs!$B$23)^C28</f>
        <v/>
      </c>
      <c r="D29" s="25">
        <f>1/(1+Inputs!$B$23)^D28</f>
        <v/>
      </c>
      <c r="E29" s="25">
        <f>1/(1+Inputs!$B$23)^E28</f>
        <v/>
      </c>
      <c r="F29" s="25">
        <f>1/(1+Inputs!$B$23)^F28</f>
        <v/>
      </c>
      <c r="G29" s="25">
        <f>1/(1+Inputs!$B$23)^G28</f>
        <v/>
      </c>
      <c r="H29" s="25">
        <f>1/(1+Inputs!$B$23)^H28</f>
        <v/>
      </c>
    </row>
    <row r="30">
      <c r="A30" s="14" t="inlineStr">
        <is>
          <t>PV of FCFF (FY27–FY31)</t>
        </is>
      </c>
      <c r="C30" s="15" t="n">
        <v>0</v>
      </c>
      <c r="D30" s="15">
        <f>D27*D29</f>
        <v/>
      </c>
      <c r="E30" s="15">
        <f>E27*E29</f>
        <v/>
      </c>
      <c r="F30" s="15">
        <f>F27*F29</f>
        <v/>
      </c>
      <c r="G30" s="15">
        <f>G27*G29</f>
        <v/>
      </c>
      <c r="H30" s="15">
        <f>H27*H29</f>
        <v/>
      </c>
    </row>
    <row r="32">
      <c r="A32" s="10" t="inlineStr">
        <is>
          <t>Sum explicit PV (FY27–FY31)</t>
        </is>
      </c>
      <c r="C32" s="15">
        <f>SUM(D30:H30)</f>
        <v/>
      </c>
    </row>
    <row r="33">
      <c r="A33" s="14" t="inlineStr">
        <is>
          <t>Terminal FCFF (FY31; capex=D&amp;A)</t>
        </is>
      </c>
      <c r="C33" s="15">
        <f>(H17*Inputs!$C$37*(1-Inputs!$C$39)+H17*Inputs!$B$12-H17*Inputs!$B$13-H17*Inputs!$C$38*Inputs!$B$14)*(1+Inputs!$C$38)</f>
        <v/>
      </c>
    </row>
    <row r="34">
      <c r="A34" s="14" t="inlineStr">
        <is>
          <t>Terminal value (Gordon)</t>
        </is>
      </c>
      <c r="C34" s="15">
        <f>C33/(Inputs!$B$23-Inputs!$C$38)</f>
        <v/>
      </c>
    </row>
    <row r="35">
      <c r="A35" s="14" t="inlineStr">
        <is>
          <t>Discount factor t=5</t>
        </is>
      </c>
      <c r="C35" s="25">
        <f>1/(1+Inputs!$B$23)^5</f>
        <v/>
      </c>
    </row>
    <row r="36">
      <c r="A36" s="14" t="inlineStr">
        <is>
          <t>PV of terminal value</t>
        </is>
      </c>
      <c r="C36" s="15">
        <f>C34*C35</f>
        <v/>
      </c>
    </row>
    <row r="37">
      <c r="A37" s="10" t="inlineStr">
        <is>
          <t>Enterprise value</t>
        </is>
      </c>
      <c r="C37" s="15">
        <f>C32+C36</f>
        <v/>
      </c>
    </row>
    <row r="38">
      <c r="A38" s="14" t="inlineStr">
        <is>
          <t>Less: net debt</t>
        </is>
      </c>
      <c r="C38" s="15">
        <f>-Inputs!$B$18</f>
        <v/>
      </c>
    </row>
    <row r="39">
      <c r="A39" s="14" t="inlineStr">
        <is>
          <t>Less: restructuring cash</t>
        </is>
      </c>
      <c r="C39" s="15">
        <f>-Inputs!$B$19</f>
        <v/>
      </c>
    </row>
    <row r="40">
      <c r="A40" s="10" t="inlineStr">
        <is>
          <t>Equity value</t>
        </is>
      </c>
      <c r="C40" s="15">
        <f>C37+C38+C39</f>
        <v/>
      </c>
    </row>
    <row r="41">
      <c r="A41" s="14" t="inlineStr">
        <is>
          <t>Shares (m)</t>
        </is>
      </c>
      <c r="C41" s="15">
        <f>Inputs!$B$20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C42*Inputs!$B$21</f>
        <v/>
      </c>
    </row>
    <row r="44">
      <c r="A44" s="14" t="inlineStr">
        <is>
          <t>Terminal % of EV (memo)</t>
        </is>
      </c>
      <c r="C44" s="16">
        <f>C36/C37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Muddle Through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15">
        <f>Inputs!$B$3</f>
        <v/>
      </c>
      <c r="C5" s="15">
        <f>B5*(1+Inputs!$D$26)</f>
        <v/>
      </c>
      <c r="D5" s="15">
        <f>C5*(1+Inputs!$D$27)</f>
        <v/>
      </c>
      <c r="E5" s="15">
        <f>D5*(1+Inputs!$D$28)</f>
        <v/>
      </c>
      <c r="F5" s="15">
        <f>E5*(1+Inputs!$D$29)</f>
        <v/>
      </c>
      <c r="G5" s="15">
        <f>F5*(1+Inputs!$D$30)</f>
        <v/>
      </c>
      <c r="H5" s="15">
        <f>G5*(1+Inputs!$D$31)</f>
        <v/>
      </c>
    </row>
    <row r="6">
      <c r="A6" s="14" t="inlineStr">
        <is>
          <t>Behring OR margin</t>
        </is>
      </c>
      <c r="B6" s="17">
        <f>Inputs!$B$7</f>
        <v/>
      </c>
      <c r="C6" s="17">
        <f>Inputs!$B$7+Inputs!$D$34*(1/6)</f>
        <v/>
      </c>
      <c r="D6" s="17">
        <f>Inputs!$B$7+Inputs!$D$34*(2/6)</f>
        <v/>
      </c>
      <c r="E6" s="17">
        <f>Inputs!$B$7+Inputs!$D$34*(3/6)</f>
        <v/>
      </c>
      <c r="F6" s="17">
        <f>Inputs!$B$7+Inputs!$D$34*(4/6)</f>
        <v/>
      </c>
      <c r="G6" s="17">
        <f>Inputs!$B$7+Inputs!$D$34*(5/6)</f>
        <v/>
      </c>
      <c r="H6" s="17">
        <f>Inputs!$B$7+Inputs!$D$34*(6/6)</f>
        <v/>
      </c>
    </row>
    <row r="7">
      <c r="A7" s="14" t="inlineStr">
        <is>
          <t>Behring OR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9">
      <c r="A9" s="14" t="inlineStr">
        <is>
          <t>Seqirus revenue</t>
        </is>
      </c>
      <c r="B9" s="15">
        <f>Inputs!$B$4</f>
        <v/>
      </c>
      <c r="C9" s="15">
        <f>B9*(1+Inputs!$D$32)</f>
        <v/>
      </c>
      <c r="D9" s="15">
        <f>C9*(1+Inputs!$D$32)</f>
        <v/>
      </c>
      <c r="E9" s="15">
        <f>D9*(1+Inputs!$D$32)</f>
        <v/>
      </c>
      <c r="F9" s="15">
        <f>E9*(1+Inputs!$D$32)</f>
        <v/>
      </c>
      <c r="G9" s="15">
        <f>F9*(1+Inputs!$D$32)</f>
        <v/>
      </c>
      <c r="H9" s="15">
        <f>G9*(1+Inputs!$D$32)</f>
        <v/>
      </c>
    </row>
    <row r="10">
      <c r="A10" s="14" t="inlineStr">
        <is>
          <t>Seqirus OR margin</t>
        </is>
      </c>
      <c r="B10" s="17">
        <f>Inputs!$B$8</f>
        <v/>
      </c>
      <c r="C10" s="17">
        <f>Inputs!$B$8+Inputs!$D$35*(1/6)</f>
        <v/>
      </c>
      <c r="D10" s="17">
        <f>Inputs!$B$8+Inputs!$D$35*(2/6)</f>
        <v/>
      </c>
      <c r="E10" s="17">
        <f>Inputs!$B$8+Inputs!$D$35*(3/6)</f>
        <v/>
      </c>
      <c r="F10" s="17">
        <f>Inputs!$B$8+Inputs!$D$35*(4/6)</f>
        <v/>
      </c>
      <c r="G10" s="17">
        <f>Inputs!$B$8+Inputs!$D$35*(5/6)</f>
        <v/>
      </c>
      <c r="H10" s="17">
        <f>Inputs!$B$8+Inputs!$D$35*(6/6)</f>
        <v/>
      </c>
    </row>
    <row r="11">
      <c r="A11" s="14" t="inlineStr">
        <is>
          <t>Seqirus OR</t>
        </is>
      </c>
      <c r="B11" s="15">
        <f>B9*B10</f>
        <v/>
      </c>
      <c r="C11" s="15">
        <f>C9*C10</f>
        <v/>
      </c>
      <c r="D11" s="15">
        <f>D9*D10</f>
        <v/>
      </c>
      <c r="E11" s="15">
        <f>E9*E10</f>
        <v/>
      </c>
      <c r="F11" s="15">
        <f>F9*F10</f>
        <v/>
      </c>
      <c r="G11" s="15">
        <f>G9*G10</f>
        <v/>
      </c>
      <c r="H11" s="15">
        <f>H9*H10</f>
        <v/>
      </c>
    </row>
    <row r="13">
      <c r="A13" s="14" t="inlineStr">
        <is>
          <t>Vifor revenue</t>
        </is>
      </c>
      <c r="B13" s="15">
        <f>Inputs!$B$5</f>
        <v/>
      </c>
      <c r="C13" s="15">
        <f>B13*(1+Inputs!$D$33)</f>
        <v/>
      </c>
      <c r="D13" s="15">
        <f>C13*(1+Inputs!$D$33)</f>
        <v/>
      </c>
      <c r="E13" s="15">
        <f>D13*(1+Inputs!$D$33)</f>
        <v/>
      </c>
      <c r="F13" s="15">
        <f>E13*(1+Inputs!$D$33)</f>
        <v/>
      </c>
      <c r="G13" s="15">
        <f>F13*(1+Inputs!$D$33)</f>
        <v/>
      </c>
      <c r="H13" s="15">
        <f>G13*(1+Inputs!$D$33)</f>
        <v/>
      </c>
    </row>
    <row r="14">
      <c r="A14" s="14" t="inlineStr">
        <is>
          <t>Vifor OR margin</t>
        </is>
      </c>
      <c r="B14" s="17">
        <f>Inputs!$B$9</f>
        <v/>
      </c>
      <c r="C14" s="17">
        <f>Inputs!$B$9+Inputs!$D$36*(1/6)</f>
        <v/>
      </c>
      <c r="D14" s="17">
        <f>Inputs!$B$9+Inputs!$D$36*(2/6)</f>
        <v/>
      </c>
      <c r="E14" s="17">
        <f>Inputs!$B$9+Inputs!$D$36*(3/6)</f>
        <v/>
      </c>
      <c r="F14" s="17">
        <f>Inputs!$B$9+Inputs!$D$36*(4/6)</f>
        <v/>
      </c>
      <c r="G14" s="17">
        <f>Inputs!$B$9+Inputs!$D$36*(5/6)</f>
        <v/>
      </c>
      <c r="H14" s="17">
        <f>Inputs!$B$9+Inputs!$D$36*(6/6)</f>
        <v/>
      </c>
    </row>
    <row r="15">
      <c r="A15" s="14" t="inlineStr">
        <is>
          <t>Vifor OR</t>
        </is>
      </c>
      <c r="B15" s="15">
        <f>B13*B14</f>
        <v/>
      </c>
      <c r="C15" s="15">
        <f>C13*C14</f>
        <v/>
      </c>
      <c r="D15" s="15">
        <f>D13*D14</f>
        <v/>
      </c>
      <c r="E15" s="15">
        <f>E13*E14</f>
        <v/>
      </c>
      <c r="F15" s="15">
        <f>F13*F14</f>
        <v/>
      </c>
      <c r="G15" s="15">
        <f>G13*G14</f>
        <v/>
      </c>
      <c r="H15" s="15">
        <f>H13*H14</f>
        <v/>
      </c>
    </row>
    <row r="17">
      <c r="A17" s="10" t="inlineStr">
        <is>
          <t>Group revenue</t>
        </is>
      </c>
      <c r="B17" s="15">
        <f>B5+B9+B13</f>
        <v/>
      </c>
      <c r="C17" s="15">
        <f>C5+C9+C13</f>
        <v/>
      </c>
      <c r="D17" s="15">
        <f>D5+D9+D13</f>
        <v/>
      </c>
      <c r="E17" s="15">
        <f>E5+E9+E13</f>
        <v/>
      </c>
      <c r="F17" s="15">
        <f>F5+F9+F13</f>
        <v/>
      </c>
      <c r="G17" s="15">
        <f>G5+G9+G13</f>
        <v/>
      </c>
      <c r="H17" s="15">
        <f>H5+H9+H13</f>
        <v/>
      </c>
    </row>
    <row r="18">
      <c r="A18" s="14" t="inlineStr">
        <is>
          <t>Segment OR (sum)</t>
        </is>
      </c>
      <c r="B18" s="15">
        <f>B7+B11+B15</f>
        <v/>
      </c>
      <c r="C18" s="15">
        <f>C7+C11+C15</f>
        <v/>
      </c>
      <c r="D18" s="15">
        <f>D7+D11+D15</f>
        <v/>
      </c>
      <c r="E18" s="15">
        <f>E7+E11+E15</f>
        <v/>
      </c>
      <c r="F18" s="15">
        <f>F7+F11+F15</f>
        <v/>
      </c>
      <c r="G18" s="15">
        <f>G7+G11+G15</f>
        <v/>
      </c>
      <c r="H18" s="15">
        <f>H7+H11+H15</f>
        <v/>
      </c>
    </row>
    <row r="19">
      <c r="A19" s="14" t="inlineStr">
        <is>
          <t>Corporate / unalloc</t>
        </is>
      </c>
      <c r="B19" s="15">
        <f>Inputs!$B$10</f>
        <v/>
      </c>
      <c r="C19" s="15">
        <f>Inputs!$B$10*(1.005^1)</f>
        <v/>
      </c>
      <c r="D19" s="15">
        <f>Inputs!$B$10*(1.005^2)</f>
        <v/>
      </c>
      <c r="E19" s="15">
        <f>Inputs!$B$10*(1.005^3)</f>
        <v/>
      </c>
      <c r="F19" s="15">
        <f>Inputs!$B$10*(1.005^4)</f>
        <v/>
      </c>
      <c r="G19" s="15">
        <f>Inputs!$B$10*(1.005^5)</f>
        <v/>
      </c>
      <c r="H19" s="15">
        <f>Inputs!$B$10*(1.005^6)</f>
        <v/>
      </c>
    </row>
    <row r="20">
      <c r="A20" s="10" t="inlineStr">
        <is>
          <t>Group EBIT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</row>
    <row r="21">
      <c r="A21" s="14" t="inlineStr">
        <is>
          <t>Group EBIT margin (memo)</t>
        </is>
      </c>
      <c r="B21" s="17">
        <f>B20/B17</f>
        <v/>
      </c>
      <c r="C21" s="17">
        <f>C20/C17</f>
        <v/>
      </c>
      <c r="D21" s="17">
        <f>D20/D17</f>
        <v/>
      </c>
      <c r="E21" s="17">
        <f>E20/E17</f>
        <v/>
      </c>
      <c r="F21" s="17">
        <f>F20/F17</f>
        <v/>
      </c>
      <c r="G21" s="17">
        <f>G20/G17</f>
        <v/>
      </c>
      <c r="H21" s="17">
        <f>H20/H17</f>
        <v/>
      </c>
    </row>
    <row r="23">
      <c r="A23" s="14" t="inlineStr">
        <is>
          <t>NOPAT = EBIT x (1-tax)</t>
        </is>
      </c>
      <c r="C23" s="15">
        <f>C20*(1-Inputs!$D$39)</f>
        <v/>
      </c>
      <c r="D23" s="15">
        <f>D20*(1-Inputs!$D$39)</f>
        <v/>
      </c>
      <c r="E23" s="15">
        <f>E20*(1-Inputs!$D$39)</f>
        <v/>
      </c>
      <c r="F23" s="15">
        <f>F20*(1-Inputs!$D$39)</f>
        <v/>
      </c>
      <c r="G23" s="15">
        <f>G20*(1-Inputs!$D$39)</f>
        <v/>
      </c>
      <c r="H23" s="15">
        <f>H20*(1-Inputs!$D$39)</f>
        <v/>
      </c>
    </row>
    <row r="24">
      <c r="A24" s="14" t="inlineStr">
        <is>
          <t>Plus: D&amp;A</t>
        </is>
      </c>
      <c r="C24" s="15">
        <f>C17*Inputs!$B$12</f>
        <v/>
      </c>
      <c r="D24" s="15">
        <f>D17*Inputs!$B$12</f>
        <v/>
      </c>
      <c r="E24" s="15">
        <f>E17*Inputs!$B$12</f>
        <v/>
      </c>
      <c r="F24" s="15">
        <f>F17*Inputs!$B$12</f>
        <v/>
      </c>
      <c r="G24" s="15">
        <f>G17*Inputs!$B$12</f>
        <v/>
      </c>
      <c r="H24" s="15">
        <f>H17*Inputs!$B$12</f>
        <v/>
      </c>
    </row>
    <row r="25">
      <c r="A25" s="14" t="inlineStr">
        <is>
          <t>Less: capex (explicit yrs)</t>
        </is>
      </c>
      <c r="C25" s="15">
        <f>-C17*Inputs!$B$11</f>
        <v/>
      </c>
      <c r="D25" s="15">
        <f>-D17*Inputs!$B$11</f>
        <v/>
      </c>
      <c r="E25" s="15">
        <f>-E17*Inputs!$B$11</f>
        <v/>
      </c>
      <c r="F25" s="15">
        <f>-F17*Inputs!$B$11</f>
        <v/>
      </c>
      <c r="G25" s="15">
        <f>-G17*Inputs!$B$11</f>
        <v/>
      </c>
      <c r="H25" s="15">
        <f>-H17*Inputs!$B$11</f>
        <v/>
      </c>
    </row>
    <row r="26">
      <c r="A26" s="14" t="inlineStr">
        <is>
          <t>Less: WC change</t>
        </is>
      </c>
      <c r="C26" s="15">
        <f>-(C17-B17)*Inputs!$B$14</f>
        <v/>
      </c>
      <c r="D26" s="15">
        <f>-(D17-C17)*Inputs!$B$14</f>
        <v/>
      </c>
      <c r="E26" s="15">
        <f>-(E17-D17)*Inputs!$B$14</f>
        <v/>
      </c>
      <c r="F26" s="15">
        <f>-(F17-E17)*Inputs!$B$14</f>
        <v/>
      </c>
      <c r="G26" s="15">
        <f>-(G17-F17)*Inputs!$B$14</f>
        <v/>
      </c>
      <c r="H26" s="15">
        <f>-(H17-G17)*Inputs!$B$14</f>
        <v/>
      </c>
    </row>
    <row r="27">
      <c r="A27" s="10" t="inlineStr">
        <is>
          <t>FCFF</t>
        </is>
      </c>
      <c r="C27" s="15">
        <f>C23+C24+C25+C26</f>
        <v/>
      </c>
      <c r="D27" s="15">
        <f>D23+D24+D25+D26</f>
        <v/>
      </c>
      <c r="E27" s="15">
        <f>E23+E24+E25+E26</f>
        <v/>
      </c>
      <c r="F27" s="15">
        <f>F23+F24+F25+F26</f>
        <v/>
      </c>
      <c r="G27" s="15">
        <f>G23+G24+G25+G26</f>
        <v/>
      </c>
      <c r="H27" s="15">
        <f>H23+H24+H25+H26</f>
        <v/>
      </c>
    </row>
    <row r="28">
      <c r="A28" s="14" t="inlineStr">
        <is>
          <t>Mid-period t (FY26 excl.)</t>
        </is>
      </c>
      <c r="C28" s="24" t="n">
        <v>0</v>
      </c>
      <c r="D28" s="24" t="n">
        <v>0.5</v>
      </c>
      <c r="E28" s="24" t="n">
        <v>1.5</v>
      </c>
      <c r="F28" s="24" t="n">
        <v>2.5</v>
      </c>
      <c r="G28" s="24" t="n">
        <v>3.5</v>
      </c>
      <c r="H28" s="24" t="n">
        <v>4.5</v>
      </c>
    </row>
    <row r="29">
      <c r="A29" s="14" t="inlineStr">
        <is>
          <t>Discount factor</t>
        </is>
      </c>
      <c r="C29" s="25">
        <f>1/(1+Inputs!$B$23)^C28</f>
        <v/>
      </c>
      <c r="D29" s="25">
        <f>1/(1+Inputs!$B$23)^D28</f>
        <v/>
      </c>
      <c r="E29" s="25">
        <f>1/(1+Inputs!$B$23)^E28</f>
        <v/>
      </c>
      <c r="F29" s="25">
        <f>1/(1+Inputs!$B$23)^F28</f>
        <v/>
      </c>
      <c r="G29" s="25">
        <f>1/(1+Inputs!$B$23)^G28</f>
        <v/>
      </c>
      <c r="H29" s="25">
        <f>1/(1+Inputs!$B$23)^H28</f>
        <v/>
      </c>
    </row>
    <row r="30">
      <c r="A30" s="14" t="inlineStr">
        <is>
          <t>PV of FCFF (FY27–FY31)</t>
        </is>
      </c>
      <c r="C30" s="15" t="n">
        <v>0</v>
      </c>
      <c r="D30" s="15">
        <f>D27*D29</f>
        <v/>
      </c>
      <c r="E30" s="15">
        <f>E27*E29</f>
        <v/>
      </c>
      <c r="F30" s="15">
        <f>F27*F29</f>
        <v/>
      </c>
      <c r="G30" s="15">
        <f>G27*G29</f>
        <v/>
      </c>
      <c r="H30" s="15">
        <f>H27*H29</f>
        <v/>
      </c>
    </row>
    <row r="32">
      <c r="A32" s="10" t="inlineStr">
        <is>
          <t>Sum explicit PV (FY27–FY31)</t>
        </is>
      </c>
      <c r="C32" s="15">
        <f>SUM(D30:H30)</f>
        <v/>
      </c>
    </row>
    <row r="33">
      <c r="A33" s="14" t="inlineStr">
        <is>
          <t>Terminal FCFF (FY31; capex=D&amp;A)</t>
        </is>
      </c>
      <c r="C33" s="15">
        <f>(H17*Inputs!$D$37*(1-Inputs!$D$39)+H17*Inputs!$B$12-H17*Inputs!$B$13-H17*Inputs!$D$38*Inputs!$B$14)*(1+Inputs!$D$38)</f>
        <v/>
      </c>
    </row>
    <row r="34">
      <c r="A34" s="14" t="inlineStr">
        <is>
          <t>Terminal value (Gordon)</t>
        </is>
      </c>
      <c r="C34" s="15">
        <f>C33/(Inputs!$B$23-Inputs!$D$38)</f>
        <v/>
      </c>
    </row>
    <row r="35">
      <c r="A35" s="14" t="inlineStr">
        <is>
          <t>Discount factor t=5</t>
        </is>
      </c>
      <c r="C35" s="25">
        <f>1/(1+Inputs!$B$23)^5</f>
        <v/>
      </c>
    </row>
    <row r="36">
      <c r="A36" s="14" t="inlineStr">
        <is>
          <t>PV of terminal value</t>
        </is>
      </c>
      <c r="C36" s="15">
        <f>C34*C35</f>
        <v/>
      </c>
    </row>
    <row r="37">
      <c r="A37" s="10" t="inlineStr">
        <is>
          <t>Enterprise value</t>
        </is>
      </c>
      <c r="C37" s="15">
        <f>C32+C36</f>
        <v/>
      </c>
    </row>
    <row r="38">
      <c r="A38" s="14" t="inlineStr">
        <is>
          <t>Less: net debt</t>
        </is>
      </c>
      <c r="C38" s="15">
        <f>-Inputs!$B$18</f>
        <v/>
      </c>
    </row>
    <row r="39">
      <c r="A39" s="14" t="inlineStr">
        <is>
          <t>Less: restructuring cash</t>
        </is>
      </c>
      <c r="C39" s="15">
        <f>-Inputs!$B$19</f>
        <v/>
      </c>
    </row>
    <row r="40">
      <c r="A40" s="10" t="inlineStr">
        <is>
          <t>Equity value</t>
        </is>
      </c>
      <c r="C40" s="15">
        <f>C37+C38+C39</f>
        <v/>
      </c>
    </row>
    <row r="41">
      <c r="A41" s="14" t="inlineStr">
        <is>
          <t>Shares (m)</t>
        </is>
      </c>
      <c r="C41" s="15">
        <f>Inputs!$B$20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C42*Inputs!$B$21</f>
        <v/>
      </c>
    </row>
    <row r="44">
      <c r="A44" s="14" t="inlineStr">
        <is>
          <t>Terminal % of EV (memo)</t>
        </is>
      </c>
      <c r="C44" s="16">
        <f>C36/C37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AI Productivity Lag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15">
        <f>Inputs!$B$3</f>
        <v/>
      </c>
      <c r="C5" s="15">
        <f>B5*(1+Inputs!$E$26)</f>
        <v/>
      </c>
      <c r="D5" s="15">
        <f>C5*(1+Inputs!$E$27)</f>
        <v/>
      </c>
      <c r="E5" s="15">
        <f>D5*(1+Inputs!$E$28)</f>
        <v/>
      </c>
      <c r="F5" s="15">
        <f>E5*(1+Inputs!$E$29)</f>
        <v/>
      </c>
      <c r="G5" s="15">
        <f>F5*(1+Inputs!$E$30)</f>
        <v/>
      </c>
      <c r="H5" s="15">
        <f>G5*(1+Inputs!$E$31)</f>
        <v/>
      </c>
    </row>
    <row r="6">
      <c r="A6" s="14" t="inlineStr">
        <is>
          <t>Behring OR margin</t>
        </is>
      </c>
      <c r="B6" s="17">
        <f>Inputs!$B$7</f>
        <v/>
      </c>
      <c r="C6" s="17">
        <f>Inputs!$B$7+Inputs!$E$34*(1/6)</f>
        <v/>
      </c>
      <c r="D6" s="17">
        <f>Inputs!$B$7+Inputs!$E$34*(2/6)</f>
        <v/>
      </c>
      <c r="E6" s="17">
        <f>Inputs!$B$7+Inputs!$E$34*(3/6)</f>
        <v/>
      </c>
      <c r="F6" s="17">
        <f>Inputs!$B$7+Inputs!$E$34*(4/6)</f>
        <v/>
      </c>
      <c r="G6" s="17">
        <f>Inputs!$B$7+Inputs!$E$34*(5/6)</f>
        <v/>
      </c>
      <c r="H6" s="17">
        <f>Inputs!$B$7+Inputs!$E$34*(6/6)</f>
        <v/>
      </c>
    </row>
    <row r="7">
      <c r="A7" s="14" t="inlineStr">
        <is>
          <t>Behring OR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9">
      <c r="A9" s="14" t="inlineStr">
        <is>
          <t>Seqirus revenue</t>
        </is>
      </c>
      <c r="B9" s="15">
        <f>Inputs!$B$4</f>
        <v/>
      </c>
      <c r="C9" s="15">
        <f>B9*(1+Inputs!$E$32)</f>
        <v/>
      </c>
      <c r="D9" s="15">
        <f>C9*(1+Inputs!$E$32)</f>
        <v/>
      </c>
      <c r="E9" s="15">
        <f>D9*(1+Inputs!$E$32)</f>
        <v/>
      </c>
      <c r="F9" s="15">
        <f>E9*(1+Inputs!$E$32)</f>
        <v/>
      </c>
      <c r="G9" s="15">
        <f>F9*(1+Inputs!$E$32)</f>
        <v/>
      </c>
      <c r="H9" s="15">
        <f>G9*(1+Inputs!$E$32)</f>
        <v/>
      </c>
    </row>
    <row r="10">
      <c r="A10" s="14" t="inlineStr">
        <is>
          <t>Seqirus OR margin</t>
        </is>
      </c>
      <c r="B10" s="17">
        <f>Inputs!$B$8</f>
        <v/>
      </c>
      <c r="C10" s="17">
        <f>Inputs!$B$8+Inputs!$E$35*(1/6)</f>
        <v/>
      </c>
      <c r="D10" s="17">
        <f>Inputs!$B$8+Inputs!$E$35*(2/6)</f>
        <v/>
      </c>
      <c r="E10" s="17">
        <f>Inputs!$B$8+Inputs!$E$35*(3/6)</f>
        <v/>
      </c>
      <c r="F10" s="17">
        <f>Inputs!$B$8+Inputs!$E$35*(4/6)</f>
        <v/>
      </c>
      <c r="G10" s="17">
        <f>Inputs!$B$8+Inputs!$E$35*(5/6)</f>
        <v/>
      </c>
      <c r="H10" s="17">
        <f>Inputs!$B$8+Inputs!$E$35*(6/6)</f>
        <v/>
      </c>
    </row>
    <row r="11">
      <c r="A11" s="14" t="inlineStr">
        <is>
          <t>Seqirus OR</t>
        </is>
      </c>
      <c r="B11" s="15">
        <f>B9*B10</f>
        <v/>
      </c>
      <c r="C11" s="15">
        <f>C9*C10</f>
        <v/>
      </c>
      <c r="D11" s="15">
        <f>D9*D10</f>
        <v/>
      </c>
      <c r="E11" s="15">
        <f>E9*E10</f>
        <v/>
      </c>
      <c r="F11" s="15">
        <f>F9*F10</f>
        <v/>
      </c>
      <c r="G11" s="15">
        <f>G9*G10</f>
        <v/>
      </c>
      <c r="H11" s="15">
        <f>H9*H10</f>
        <v/>
      </c>
    </row>
    <row r="13">
      <c r="A13" s="14" t="inlineStr">
        <is>
          <t>Vifor revenue</t>
        </is>
      </c>
      <c r="B13" s="15">
        <f>Inputs!$B$5</f>
        <v/>
      </c>
      <c r="C13" s="15">
        <f>B13*(1+Inputs!$E$33)</f>
        <v/>
      </c>
      <c r="D13" s="15">
        <f>C13*(1+Inputs!$E$33)</f>
        <v/>
      </c>
      <c r="E13" s="15">
        <f>D13*(1+Inputs!$E$33)</f>
        <v/>
      </c>
      <c r="F13" s="15">
        <f>E13*(1+Inputs!$E$33)</f>
        <v/>
      </c>
      <c r="G13" s="15">
        <f>F13*(1+Inputs!$E$33)</f>
        <v/>
      </c>
      <c r="H13" s="15">
        <f>G13*(1+Inputs!$E$33)</f>
        <v/>
      </c>
    </row>
    <row r="14">
      <c r="A14" s="14" t="inlineStr">
        <is>
          <t>Vifor OR margin</t>
        </is>
      </c>
      <c r="B14" s="17">
        <f>Inputs!$B$9</f>
        <v/>
      </c>
      <c r="C14" s="17">
        <f>Inputs!$B$9+Inputs!$E$36*(1/6)</f>
        <v/>
      </c>
      <c r="D14" s="17">
        <f>Inputs!$B$9+Inputs!$E$36*(2/6)</f>
        <v/>
      </c>
      <c r="E14" s="17">
        <f>Inputs!$B$9+Inputs!$E$36*(3/6)</f>
        <v/>
      </c>
      <c r="F14" s="17">
        <f>Inputs!$B$9+Inputs!$E$36*(4/6)</f>
        <v/>
      </c>
      <c r="G14" s="17">
        <f>Inputs!$B$9+Inputs!$E$36*(5/6)</f>
        <v/>
      </c>
      <c r="H14" s="17">
        <f>Inputs!$B$9+Inputs!$E$36*(6/6)</f>
        <v/>
      </c>
    </row>
    <row r="15">
      <c r="A15" s="14" t="inlineStr">
        <is>
          <t>Vifor OR</t>
        </is>
      </c>
      <c r="B15" s="15">
        <f>B13*B14</f>
        <v/>
      </c>
      <c r="C15" s="15">
        <f>C13*C14</f>
        <v/>
      </c>
      <c r="D15" s="15">
        <f>D13*D14</f>
        <v/>
      </c>
      <c r="E15" s="15">
        <f>E13*E14</f>
        <v/>
      </c>
      <c r="F15" s="15">
        <f>F13*F14</f>
        <v/>
      </c>
      <c r="G15" s="15">
        <f>G13*G14</f>
        <v/>
      </c>
      <c r="H15" s="15">
        <f>H13*H14</f>
        <v/>
      </c>
    </row>
    <row r="17">
      <c r="A17" s="10" t="inlineStr">
        <is>
          <t>Group revenue</t>
        </is>
      </c>
      <c r="B17" s="15">
        <f>B5+B9+B13</f>
        <v/>
      </c>
      <c r="C17" s="15">
        <f>C5+C9+C13</f>
        <v/>
      </c>
      <c r="D17" s="15">
        <f>D5+D9+D13</f>
        <v/>
      </c>
      <c r="E17" s="15">
        <f>E5+E9+E13</f>
        <v/>
      </c>
      <c r="F17" s="15">
        <f>F5+F9+F13</f>
        <v/>
      </c>
      <c r="G17" s="15">
        <f>G5+G9+G13</f>
        <v/>
      </c>
      <c r="H17" s="15">
        <f>H5+H9+H13</f>
        <v/>
      </c>
    </row>
    <row r="18">
      <c r="A18" s="14" t="inlineStr">
        <is>
          <t>Segment OR (sum)</t>
        </is>
      </c>
      <c r="B18" s="15">
        <f>B7+B11+B15</f>
        <v/>
      </c>
      <c r="C18" s="15">
        <f>C7+C11+C15</f>
        <v/>
      </c>
      <c r="D18" s="15">
        <f>D7+D11+D15</f>
        <v/>
      </c>
      <c r="E18" s="15">
        <f>E7+E11+E15</f>
        <v/>
      </c>
      <c r="F18" s="15">
        <f>F7+F11+F15</f>
        <v/>
      </c>
      <c r="G18" s="15">
        <f>G7+G11+G15</f>
        <v/>
      </c>
      <c r="H18" s="15">
        <f>H7+H11+H15</f>
        <v/>
      </c>
    </row>
    <row r="19">
      <c r="A19" s="14" t="inlineStr">
        <is>
          <t>Corporate / unalloc</t>
        </is>
      </c>
      <c r="B19" s="15">
        <f>Inputs!$B$10</f>
        <v/>
      </c>
      <c r="C19" s="15">
        <f>Inputs!$B$10*(1.005^1)</f>
        <v/>
      </c>
      <c r="D19" s="15">
        <f>Inputs!$B$10*(1.005^2)</f>
        <v/>
      </c>
      <c r="E19" s="15">
        <f>Inputs!$B$10*(1.005^3)</f>
        <v/>
      </c>
      <c r="F19" s="15">
        <f>Inputs!$B$10*(1.005^4)</f>
        <v/>
      </c>
      <c r="G19" s="15">
        <f>Inputs!$B$10*(1.005^5)</f>
        <v/>
      </c>
      <c r="H19" s="15">
        <f>Inputs!$B$10*(1.005^6)</f>
        <v/>
      </c>
    </row>
    <row r="20">
      <c r="A20" s="10" t="inlineStr">
        <is>
          <t>Group EBIT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</row>
    <row r="21">
      <c r="A21" s="14" t="inlineStr">
        <is>
          <t>Group EBIT margin (memo)</t>
        </is>
      </c>
      <c r="B21" s="17">
        <f>B20/B17</f>
        <v/>
      </c>
      <c r="C21" s="17">
        <f>C20/C17</f>
        <v/>
      </c>
      <c r="D21" s="17">
        <f>D20/D17</f>
        <v/>
      </c>
      <c r="E21" s="17">
        <f>E20/E17</f>
        <v/>
      </c>
      <c r="F21" s="17">
        <f>F20/F17</f>
        <v/>
      </c>
      <c r="G21" s="17">
        <f>G20/G17</f>
        <v/>
      </c>
      <c r="H21" s="17">
        <f>H20/H17</f>
        <v/>
      </c>
    </row>
    <row r="23">
      <c r="A23" s="14" t="inlineStr">
        <is>
          <t>NOPAT = EBIT x (1-tax)</t>
        </is>
      </c>
      <c r="C23" s="15">
        <f>C20*(1-Inputs!$E$39)</f>
        <v/>
      </c>
      <c r="D23" s="15">
        <f>D20*(1-Inputs!$E$39)</f>
        <v/>
      </c>
      <c r="E23" s="15">
        <f>E20*(1-Inputs!$E$39)</f>
        <v/>
      </c>
      <c r="F23" s="15">
        <f>F20*(1-Inputs!$E$39)</f>
        <v/>
      </c>
      <c r="G23" s="15">
        <f>G20*(1-Inputs!$E$39)</f>
        <v/>
      </c>
      <c r="H23" s="15">
        <f>H20*(1-Inputs!$E$39)</f>
        <v/>
      </c>
    </row>
    <row r="24">
      <c r="A24" s="14" t="inlineStr">
        <is>
          <t>Plus: D&amp;A</t>
        </is>
      </c>
      <c r="C24" s="15">
        <f>C17*Inputs!$B$12</f>
        <v/>
      </c>
      <c r="D24" s="15">
        <f>D17*Inputs!$B$12</f>
        <v/>
      </c>
      <c r="E24" s="15">
        <f>E17*Inputs!$B$12</f>
        <v/>
      </c>
      <c r="F24" s="15">
        <f>F17*Inputs!$B$12</f>
        <v/>
      </c>
      <c r="G24" s="15">
        <f>G17*Inputs!$B$12</f>
        <v/>
      </c>
      <c r="H24" s="15">
        <f>H17*Inputs!$B$12</f>
        <v/>
      </c>
    </row>
    <row r="25">
      <c r="A25" s="14" t="inlineStr">
        <is>
          <t>Less: capex (explicit yrs)</t>
        </is>
      </c>
      <c r="C25" s="15">
        <f>-C17*Inputs!$B$11</f>
        <v/>
      </c>
      <c r="D25" s="15">
        <f>-D17*Inputs!$B$11</f>
        <v/>
      </c>
      <c r="E25" s="15">
        <f>-E17*Inputs!$B$11</f>
        <v/>
      </c>
      <c r="F25" s="15">
        <f>-F17*Inputs!$B$11</f>
        <v/>
      </c>
      <c r="G25" s="15">
        <f>-G17*Inputs!$B$11</f>
        <v/>
      </c>
      <c r="H25" s="15">
        <f>-H17*Inputs!$B$11</f>
        <v/>
      </c>
    </row>
    <row r="26">
      <c r="A26" s="14" t="inlineStr">
        <is>
          <t>Less: WC change</t>
        </is>
      </c>
      <c r="C26" s="15">
        <f>-(C17-B17)*Inputs!$B$14</f>
        <v/>
      </c>
      <c r="D26" s="15">
        <f>-(D17-C17)*Inputs!$B$14</f>
        <v/>
      </c>
      <c r="E26" s="15">
        <f>-(E17-D17)*Inputs!$B$14</f>
        <v/>
      </c>
      <c r="F26" s="15">
        <f>-(F17-E17)*Inputs!$B$14</f>
        <v/>
      </c>
      <c r="G26" s="15">
        <f>-(G17-F17)*Inputs!$B$14</f>
        <v/>
      </c>
      <c r="H26" s="15">
        <f>-(H17-G17)*Inputs!$B$14</f>
        <v/>
      </c>
    </row>
    <row r="27">
      <c r="A27" s="10" t="inlineStr">
        <is>
          <t>FCFF</t>
        </is>
      </c>
      <c r="C27" s="15">
        <f>C23+C24+C25+C26</f>
        <v/>
      </c>
      <c r="D27" s="15">
        <f>D23+D24+D25+D26</f>
        <v/>
      </c>
      <c r="E27" s="15">
        <f>E23+E24+E25+E26</f>
        <v/>
      </c>
      <c r="F27" s="15">
        <f>F23+F24+F25+F26</f>
        <v/>
      </c>
      <c r="G27" s="15">
        <f>G23+G24+G25+G26</f>
        <v/>
      </c>
      <c r="H27" s="15">
        <f>H23+H24+H25+H26</f>
        <v/>
      </c>
    </row>
    <row r="28">
      <c r="A28" s="14" t="inlineStr">
        <is>
          <t>Mid-period t (FY26 excl.)</t>
        </is>
      </c>
      <c r="C28" s="24" t="n">
        <v>0</v>
      </c>
      <c r="D28" s="24" t="n">
        <v>0.5</v>
      </c>
      <c r="E28" s="24" t="n">
        <v>1.5</v>
      </c>
      <c r="F28" s="24" t="n">
        <v>2.5</v>
      </c>
      <c r="G28" s="24" t="n">
        <v>3.5</v>
      </c>
      <c r="H28" s="24" t="n">
        <v>4.5</v>
      </c>
    </row>
    <row r="29">
      <c r="A29" s="14" t="inlineStr">
        <is>
          <t>Discount factor</t>
        </is>
      </c>
      <c r="C29" s="25">
        <f>1/(1+Inputs!$B$23)^C28</f>
        <v/>
      </c>
      <c r="D29" s="25">
        <f>1/(1+Inputs!$B$23)^D28</f>
        <v/>
      </c>
      <c r="E29" s="25">
        <f>1/(1+Inputs!$B$23)^E28</f>
        <v/>
      </c>
      <c r="F29" s="25">
        <f>1/(1+Inputs!$B$23)^F28</f>
        <v/>
      </c>
      <c r="G29" s="25">
        <f>1/(1+Inputs!$B$23)^G28</f>
        <v/>
      </c>
      <c r="H29" s="25">
        <f>1/(1+Inputs!$B$23)^H28</f>
        <v/>
      </c>
    </row>
    <row r="30">
      <c r="A30" s="14" t="inlineStr">
        <is>
          <t>PV of FCFF (FY27–FY31)</t>
        </is>
      </c>
      <c r="C30" s="15" t="n">
        <v>0</v>
      </c>
      <c r="D30" s="15">
        <f>D27*D29</f>
        <v/>
      </c>
      <c r="E30" s="15">
        <f>E27*E29</f>
        <v/>
      </c>
      <c r="F30" s="15">
        <f>F27*F29</f>
        <v/>
      </c>
      <c r="G30" s="15">
        <f>G27*G29</f>
        <v/>
      </c>
      <c r="H30" s="15">
        <f>H27*H29</f>
        <v/>
      </c>
    </row>
    <row r="32">
      <c r="A32" s="10" t="inlineStr">
        <is>
          <t>Sum explicit PV (FY27–FY31)</t>
        </is>
      </c>
      <c r="C32" s="15">
        <f>SUM(D30:H30)</f>
        <v/>
      </c>
    </row>
    <row r="33">
      <c r="A33" s="14" t="inlineStr">
        <is>
          <t>Terminal FCFF (FY31; capex=D&amp;A)</t>
        </is>
      </c>
      <c r="C33" s="15">
        <f>(H17*Inputs!$E$37*(1-Inputs!$E$39)+H17*Inputs!$B$12-H17*Inputs!$B$13-H17*Inputs!$E$38*Inputs!$B$14)*(1+Inputs!$E$38)</f>
        <v/>
      </c>
    </row>
    <row r="34">
      <c r="A34" s="14" t="inlineStr">
        <is>
          <t>Terminal value (Gordon)</t>
        </is>
      </c>
      <c r="C34" s="15">
        <f>C33/(Inputs!$B$23-Inputs!$E$38)</f>
        <v/>
      </c>
    </row>
    <row r="35">
      <c r="A35" s="14" t="inlineStr">
        <is>
          <t>Discount factor t=5</t>
        </is>
      </c>
      <c r="C35" s="25">
        <f>1/(1+Inputs!$B$23)^5</f>
        <v/>
      </c>
    </row>
    <row r="36">
      <c r="A36" s="14" t="inlineStr">
        <is>
          <t>PV of terminal value</t>
        </is>
      </c>
      <c r="C36" s="15">
        <f>C34*C35</f>
        <v/>
      </c>
    </row>
    <row r="37">
      <c r="A37" s="10" t="inlineStr">
        <is>
          <t>Enterprise value</t>
        </is>
      </c>
      <c r="C37" s="15">
        <f>C32+C36</f>
        <v/>
      </c>
    </row>
    <row r="38">
      <c r="A38" s="14" t="inlineStr">
        <is>
          <t>Less: net debt</t>
        </is>
      </c>
      <c r="C38" s="15">
        <f>-Inputs!$B$18</f>
        <v/>
      </c>
    </row>
    <row r="39">
      <c r="A39" s="14" t="inlineStr">
        <is>
          <t>Less: restructuring cash</t>
        </is>
      </c>
      <c r="C39" s="15">
        <f>-Inputs!$B$19</f>
        <v/>
      </c>
    </row>
    <row r="40">
      <c r="A40" s="10" t="inlineStr">
        <is>
          <t>Equity value</t>
        </is>
      </c>
      <c r="C40" s="15">
        <f>C37+C38+C39</f>
        <v/>
      </c>
    </row>
    <row r="41">
      <c r="A41" s="14" t="inlineStr">
        <is>
          <t>Shares (m)</t>
        </is>
      </c>
      <c r="C41" s="15">
        <f>Inputs!$B$20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C42*Inputs!$B$21</f>
        <v/>
      </c>
    </row>
    <row r="44">
      <c r="A44" s="14" t="inlineStr">
        <is>
          <t>Terminal % of EV (memo)</t>
        </is>
      </c>
      <c r="C44" s="16">
        <f>C36/C37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Disorderly Climate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15">
        <f>Inputs!$B$3</f>
        <v/>
      </c>
      <c r="C5" s="15">
        <f>B5*(1+Inputs!$F$26)</f>
        <v/>
      </c>
      <c r="D5" s="15">
        <f>C5*(1+Inputs!$F$27)</f>
        <v/>
      </c>
      <c r="E5" s="15">
        <f>D5*(1+Inputs!$F$28)</f>
        <v/>
      </c>
      <c r="F5" s="15">
        <f>E5*(1+Inputs!$F$29)</f>
        <v/>
      </c>
      <c r="G5" s="15">
        <f>F5*(1+Inputs!$F$30)</f>
        <v/>
      </c>
      <c r="H5" s="15">
        <f>G5*(1+Inputs!$F$31)</f>
        <v/>
      </c>
    </row>
    <row r="6">
      <c r="A6" s="14" t="inlineStr">
        <is>
          <t>Behring OR margin</t>
        </is>
      </c>
      <c r="B6" s="17">
        <f>Inputs!$B$7</f>
        <v/>
      </c>
      <c r="C6" s="17">
        <f>Inputs!$B$7+Inputs!$F$34*(1/6)</f>
        <v/>
      </c>
      <c r="D6" s="17">
        <f>Inputs!$B$7+Inputs!$F$34*(2/6)</f>
        <v/>
      </c>
      <c r="E6" s="17">
        <f>Inputs!$B$7+Inputs!$F$34*(3/6)</f>
        <v/>
      </c>
      <c r="F6" s="17">
        <f>Inputs!$B$7+Inputs!$F$34*(4/6)</f>
        <v/>
      </c>
      <c r="G6" s="17">
        <f>Inputs!$B$7+Inputs!$F$34*(5/6)</f>
        <v/>
      </c>
      <c r="H6" s="17">
        <f>Inputs!$B$7+Inputs!$F$34*(6/6)</f>
        <v/>
      </c>
    </row>
    <row r="7">
      <c r="A7" s="14" t="inlineStr">
        <is>
          <t>Behring OR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9">
      <c r="A9" s="14" t="inlineStr">
        <is>
          <t>Seqirus revenue</t>
        </is>
      </c>
      <c r="B9" s="15">
        <f>Inputs!$B$4</f>
        <v/>
      </c>
      <c r="C9" s="15">
        <f>B9*(1+Inputs!$F$32)</f>
        <v/>
      </c>
      <c r="D9" s="15">
        <f>C9*(1+Inputs!$F$32)</f>
        <v/>
      </c>
      <c r="E9" s="15">
        <f>D9*(1+Inputs!$F$32)</f>
        <v/>
      </c>
      <c r="F9" s="15">
        <f>E9*(1+Inputs!$F$32)</f>
        <v/>
      </c>
      <c r="G9" s="15">
        <f>F9*(1+Inputs!$F$32)</f>
        <v/>
      </c>
      <c r="H9" s="15">
        <f>G9*(1+Inputs!$F$32)</f>
        <v/>
      </c>
    </row>
    <row r="10">
      <c r="A10" s="14" t="inlineStr">
        <is>
          <t>Seqirus OR margin</t>
        </is>
      </c>
      <c r="B10" s="17">
        <f>Inputs!$B$8</f>
        <v/>
      </c>
      <c r="C10" s="17">
        <f>Inputs!$B$8+Inputs!$F$35*(1/6)</f>
        <v/>
      </c>
      <c r="D10" s="17">
        <f>Inputs!$B$8+Inputs!$F$35*(2/6)</f>
        <v/>
      </c>
      <c r="E10" s="17">
        <f>Inputs!$B$8+Inputs!$F$35*(3/6)</f>
        <v/>
      </c>
      <c r="F10" s="17">
        <f>Inputs!$B$8+Inputs!$F$35*(4/6)</f>
        <v/>
      </c>
      <c r="G10" s="17">
        <f>Inputs!$B$8+Inputs!$F$35*(5/6)</f>
        <v/>
      </c>
      <c r="H10" s="17">
        <f>Inputs!$B$8+Inputs!$F$35*(6/6)</f>
        <v/>
      </c>
    </row>
    <row r="11">
      <c r="A11" s="14" t="inlineStr">
        <is>
          <t>Seqirus OR</t>
        </is>
      </c>
      <c r="B11" s="15">
        <f>B9*B10</f>
        <v/>
      </c>
      <c r="C11" s="15">
        <f>C9*C10</f>
        <v/>
      </c>
      <c r="D11" s="15">
        <f>D9*D10</f>
        <v/>
      </c>
      <c r="E11" s="15">
        <f>E9*E10</f>
        <v/>
      </c>
      <c r="F11" s="15">
        <f>F9*F10</f>
        <v/>
      </c>
      <c r="G11" s="15">
        <f>G9*G10</f>
        <v/>
      </c>
      <c r="H11" s="15">
        <f>H9*H10</f>
        <v/>
      </c>
    </row>
    <row r="13">
      <c r="A13" s="14" t="inlineStr">
        <is>
          <t>Vifor revenue</t>
        </is>
      </c>
      <c r="B13" s="15">
        <f>Inputs!$B$5</f>
        <v/>
      </c>
      <c r="C13" s="15">
        <f>B13*(1+Inputs!$F$33)</f>
        <v/>
      </c>
      <c r="D13" s="15">
        <f>C13*(1+Inputs!$F$33)</f>
        <v/>
      </c>
      <c r="E13" s="15">
        <f>D13*(1+Inputs!$F$33)</f>
        <v/>
      </c>
      <c r="F13" s="15">
        <f>E13*(1+Inputs!$F$33)</f>
        <v/>
      </c>
      <c r="G13" s="15">
        <f>F13*(1+Inputs!$F$33)</f>
        <v/>
      </c>
      <c r="H13" s="15">
        <f>G13*(1+Inputs!$F$33)</f>
        <v/>
      </c>
    </row>
    <row r="14">
      <c r="A14" s="14" t="inlineStr">
        <is>
          <t>Vifor OR margin</t>
        </is>
      </c>
      <c r="B14" s="17">
        <f>Inputs!$B$9</f>
        <v/>
      </c>
      <c r="C14" s="17">
        <f>Inputs!$B$9+Inputs!$F$36*(1/6)</f>
        <v/>
      </c>
      <c r="D14" s="17">
        <f>Inputs!$B$9+Inputs!$F$36*(2/6)</f>
        <v/>
      </c>
      <c r="E14" s="17">
        <f>Inputs!$B$9+Inputs!$F$36*(3/6)</f>
        <v/>
      </c>
      <c r="F14" s="17">
        <f>Inputs!$B$9+Inputs!$F$36*(4/6)</f>
        <v/>
      </c>
      <c r="G14" s="17">
        <f>Inputs!$B$9+Inputs!$F$36*(5/6)</f>
        <v/>
      </c>
      <c r="H14" s="17">
        <f>Inputs!$B$9+Inputs!$F$36*(6/6)</f>
        <v/>
      </c>
    </row>
    <row r="15">
      <c r="A15" s="14" t="inlineStr">
        <is>
          <t>Vifor OR</t>
        </is>
      </c>
      <c r="B15" s="15">
        <f>B13*B14</f>
        <v/>
      </c>
      <c r="C15" s="15">
        <f>C13*C14</f>
        <v/>
      </c>
      <c r="D15" s="15">
        <f>D13*D14</f>
        <v/>
      </c>
      <c r="E15" s="15">
        <f>E13*E14</f>
        <v/>
      </c>
      <c r="F15" s="15">
        <f>F13*F14</f>
        <v/>
      </c>
      <c r="G15" s="15">
        <f>G13*G14</f>
        <v/>
      </c>
      <c r="H15" s="15">
        <f>H13*H14</f>
        <v/>
      </c>
    </row>
    <row r="17">
      <c r="A17" s="10" t="inlineStr">
        <is>
          <t>Group revenue</t>
        </is>
      </c>
      <c r="B17" s="15">
        <f>B5+B9+B13</f>
        <v/>
      </c>
      <c r="C17" s="15">
        <f>C5+C9+C13</f>
        <v/>
      </c>
      <c r="D17" s="15">
        <f>D5+D9+D13</f>
        <v/>
      </c>
      <c r="E17" s="15">
        <f>E5+E9+E13</f>
        <v/>
      </c>
      <c r="F17" s="15">
        <f>F5+F9+F13</f>
        <v/>
      </c>
      <c r="G17" s="15">
        <f>G5+G9+G13</f>
        <v/>
      </c>
      <c r="H17" s="15">
        <f>H5+H9+H13</f>
        <v/>
      </c>
    </row>
    <row r="18">
      <c r="A18" s="14" t="inlineStr">
        <is>
          <t>Segment OR (sum)</t>
        </is>
      </c>
      <c r="B18" s="15">
        <f>B7+B11+B15</f>
        <v/>
      </c>
      <c r="C18" s="15">
        <f>C7+C11+C15</f>
        <v/>
      </c>
      <c r="D18" s="15">
        <f>D7+D11+D15</f>
        <v/>
      </c>
      <c r="E18" s="15">
        <f>E7+E11+E15</f>
        <v/>
      </c>
      <c r="F18" s="15">
        <f>F7+F11+F15</f>
        <v/>
      </c>
      <c r="G18" s="15">
        <f>G7+G11+G15</f>
        <v/>
      </c>
      <c r="H18" s="15">
        <f>H7+H11+H15</f>
        <v/>
      </c>
    </row>
    <row r="19">
      <c r="A19" s="14" t="inlineStr">
        <is>
          <t>Corporate / unalloc</t>
        </is>
      </c>
      <c r="B19" s="15">
        <f>Inputs!$B$10</f>
        <v/>
      </c>
      <c r="C19" s="15">
        <f>Inputs!$B$10*(1.005^1)</f>
        <v/>
      </c>
      <c r="D19" s="15">
        <f>Inputs!$B$10*(1.005^2)</f>
        <v/>
      </c>
      <c r="E19" s="15">
        <f>Inputs!$B$10*(1.005^3)</f>
        <v/>
      </c>
      <c r="F19" s="15">
        <f>Inputs!$B$10*(1.005^4)</f>
        <v/>
      </c>
      <c r="G19" s="15">
        <f>Inputs!$B$10*(1.005^5)</f>
        <v/>
      </c>
      <c r="H19" s="15">
        <f>Inputs!$B$10*(1.005^6)</f>
        <v/>
      </c>
    </row>
    <row r="20">
      <c r="A20" s="10" t="inlineStr">
        <is>
          <t>Group EBIT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</row>
    <row r="21">
      <c r="A21" s="14" t="inlineStr">
        <is>
          <t>Group EBIT margin (memo)</t>
        </is>
      </c>
      <c r="B21" s="17">
        <f>B20/B17</f>
        <v/>
      </c>
      <c r="C21" s="17">
        <f>C20/C17</f>
        <v/>
      </c>
      <c r="D21" s="17">
        <f>D20/D17</f>
        <v/>
      </c>
      <c r="E21" s="17">
        <f>E20/E17</f>
        <v/>
      </c>
      <c r="F21" s="17">
        <f>F20/F17</f>
        <v/>
      </c>
      <c r="G21" s="17">
        <f>G20/G17</f>
        <v/>
      </c>
      <c r="H21" s="17">
        <f>H20/H17</f>
        <v/>
      </c>
    </row>
    <row r="23">
      <c r="A23" s="14" t="inlineStr">
        <is>
          <t>NOPAT = EBIT x (1-tax)</t>
        </is>
      </c>
      <c r="C23" s="15">
        <f>C20*(1-Inputs!$F$39)</f>
        <v/>
      </c>
      <c r="D23" s="15">
        <f>D20*(1-Inputs!$F$39)</f>
        <v/>
      </c>
      <c r="E23" s="15">
        <f>E20*(1-Inputs!$F$39)</f>
        <v/>
      </c>
      <c r="F23" s="15">
        <f>F20*(1-Inputs!$F$39)</f>
        <v/>
      </c>
      <c r="G23" s="15">
        <f>G20*(1-Inputs!$F$39)</f>
        <v/>
      </c>
      <c r="H23" s="15">
        <f>H20*(1-Inputs!$F$39)</f>
        <v/>
      </c>
    </row>
    <row r="24">
      <c r="A24" s="14" t="inlineStr">
        <is>
          <t>Plus: D&amp;A</t>
        </is>
      </c>
      <c r="C24" s="15">
        <f>C17*Inputs!$B$12</f>
        <v/>
      </c>
      <c r="D24" s="15">
        <f>D17*Inputs!$B$12</f>
        <v/>
      </c>
      <c r="E24" s="15">
        <f>E17*Inputs!$B$12</f>
        <v/>
      </c>
      <c r="F24" s="15">
        <f>F17*Inputs!$B$12</f>
        <v/>
      </c>
      <c r="G24" s="15">
        <f>G17*Inputs!$B$12</f>
        <v/>
      </c>
      <c r="H24" s="15">
        <f>H17*Inputs!$B$12</f>
        <v/>
      </c>
    </row>
    <row r="25">
      <c r="A25" s="14" t="inlineStr">
        <is>
          <t>Less: capex (explicit yrs)</t>
        </is>
      </c>
      <c r="C25" s="15">
        <f>-C17*Inputs!$B$11</f>
        <v/>
      </c>
      <c r="D25" s="15">
        <f>-D17*Inputs!$B$11</f>
        <v/>
      </c>
      <c r="E25" s="15">
        <f>-E17*Inputs!$B$11</f>
        <v/>
      </c>
      <c r="F25" s="15">
        <f>-F17*Inputs!$B$11</f>
        <v/>
      </c>
      <c r="G25" s="15">
        <f>-G17*Inputs!$B$11</f>
        <v/>
      </c>
      <c r="H25" s="15">
        <f>-H17*Inputs!$B$11</f>
        <v/>
      </c>
    </row>
    <row r="26">
      <c r="A26" s="14" t="inlineStr">
        <is>
          <t>Less: WC change</t>
        </is>
      </c>
      <c r="C26" s="15">
        <f>-(C17-B17)*Inputs!$B$14</f>
        <v/>
      </c>
      <c r="D26" s="15">
        <f>-(D17-C17)*Inputs!$B$14</f>
        <v/>
      </c>
      <c r="E26" s="15">
        <f>-(E17-D17)*Inputs!$B$14</f>
        <v/>
      </c>
      <c r="F26" s="15">
        <f>-(F17-E17)*Inputs!$B$14</f>
        <v/>
      </c>
      <c r="G26" s="15">
        <f>-(G17-F17)*Inputs!$B$14</f>
        <v/>
      </c>
      <c r="H26" s="15">
        <f>-(H17-G17)*Inputs!$B$14</f>
        <v/>
      </c>
    </row>
    <row r="27">
      <c r="A27" s="10" t="inlineStr">
        <is>
          <t>FCFF</t>
        </is>
      </c>
      <c r="C27" s="15">
        <f>C23+C24+C25+C26</f>
        <v/>
      </c>
      <c r="D27" s="15">
        <f>D23+D24+D25+D26</f>
        <v/>
      </c>
      <c r="E27" s="15">
        <f>E23+E24+E25+E26</f>
        <v/>
      </c>
      <c r="F27" s="15">
        <f>F23+F24+F25+F26</f>
        <v/>
      </c>
      <c r="G27" s="15">
        <f>G23+G24+G25+G26</f>
        <v/>
      </c>
      <c r="H27" s="15">
        <f>H23+H24+H25+H26</f>
        <v/>
      </c>
    </row>
    <row r="28">
      <c r="A28" s="14" t="inlineStr">
        <is>
          <t>Mid-period t (FY26 excl.)</t>
        </is>
      </c>
      <c r="C28" s="24" t="n">
        <v>0</v>
      </c>
      <c r="D28" s="24" t="n">
        <v>0.5</v>
      </c>
      <c r="E28" s="24" t="n">
        <v>1.5</v>
      </c>
      <c r="F28" s="24" t="n">
        <v>2.5</v>
      </c>
      <c r="G28" s="24" t="n">
        <v>3.5</v>
      </c>
      <c r="H28" s="24" t="n">
        <v>4.5</v>
      </c>
    </row>
    <row r="29">
      <c r="A29" s="14" t="inlineStr">
        <is>
          <t>Discount factor</t>
        </is>
      </c>
      <c r="C29" s="25">
        <f>1/(1+Inputs!$B$23)^C28</f>
        <v/>
      </c>
      <c r="D29" s="25">
        <f>1/(1+Inputs!$B$23)^D28</f>
        <v/>
      </c>
      <c r="E29" s="25">
        <f>1/(1+Inputs!$B$23)^E28</f>
        <v/>
      </c>
      <c r="F29" s="25">
        <f>1/(1+Inputs!$B$23)^F28</f>
        <v/>
      </c>
      <c r="G29" s="25">
        <f>1/(1+Inputs!$B$23)^G28</f>
        <v/>
      </c>
      <c r="H29" s="25">
        <f>1/(1+Inputs!$B$23)^H28</f>
        <v/>
      </c>
    </row>
    <row r="30">
      <c r="A30" s="14" t="inlineStr">
        <is>
          <t>PV of FCFF (FY27–FY31)</t>
        </is>
      </c>
      <c r="C30" s="15" t="n">
        <v>0</v>
      </c>
      <c r="D30" s="15">
        <f>D27*D29</f>
        <v/>
      </c>
      <c r="E30" s="15">
        <f>E27*E29</f>
        <v/>
      </c>
      <c r="F30" s="15">
        <f>F27*F29</f>
        <v/>
      </c>
      <c r="G30" s="15">
        <f>G27*G29</f>
        <v/>
      </c>
      <c r="H30" s="15">
        <f>H27*H29</f>
        <v/>
      </c>
    </row>
    <row r="32">
      <c r="A32" s="10" t="inlineStr">
        <is>
          <t>Sum explicit PV (FY27–FY31)</t>
        </is>
      </c>
      <c r="C32" s="15">
        <f>SUM(D30:H30)</f>
        <v/>
      </c>
    </row>
    <row r="33">
      <c r="A33" s="14" t="inlineStr">
        <is>
          <t>Terminal FCFF (FY31; capex=D&amp;A)</t>
        </is>
      </c>
      <c r="C33" s="15">
        <f>(H17*Inputs!$F$37*(1-Inputs!$F$39)+H17*Inputs!$B$12-H17*Inputs!$B$13-H17*Inputs!$F$38*Inputs!$B$14)*(1+Inputs!$F$38)</f>
        <v/>
      </c>
    </row>
    <row r="34">
      <c r="A34" s="14" t="inlineStr">
        <is>
          <t>Terminal value (Gordon)</t>
        </is>
      </c>
      <c r="C34" s="15">
        <f>C33/(Inputs!$B$23-Inputs!$F$38)</f>
        <v/>
      </c>
    </row>
    <row r="35">
      <c r="A35" s="14" t="inlineStr">
        <is>
          <t>Discount factor t=5</t>
        </is>
      </c>
      <c r="C35" s="25">
        <f>1/(1+Inputs!$B$23)^5</f>
        <v/>
      </c>
    </row>
    <row r="36">
      <c r="A36" s="14" t="inlineStr">
        <is>
          <t>PV of terminal value</t>
        </is>
      </c>
      <c r="C36" s="15">
        <f>C34*C35</f>
        <v/>
      </c>
    </row>
    <row r="37">
      <c r="A37" s="10" t="inlineStr">
        <is>
          <t>Enterprise value</t>
        </is>
      </c>
      <c r="C37" s="15">
        <f>C32+C36</f>
        <v/>
      </c>
    </row>
    <row r="38">
      <c r="A38" s="14" t="inlineStr">
        <is>
          <t>Less: net debt</t>
        </is>
      </c>
      <c r="C38" s="15">
        <f>-Inputs!$B$18</f>
        <v/>
      </c>
    </row>
    <row r="39">
      <c r="A39" s="14" t="inlineStr">
        <is>
          <t>Less: restructuring cash</t>
        </is>
      </c>
      <c r="C39" s="15">
        <f>-Inputs!$B$19</f>
        <v/>
      </c>
    </row>
    <row r="40">
      <c r="A40" s="10" t="inlineStr">
        <is>
          <t>Equity value</t>
        </is>
      </c>
      <c r="C40" s="15">
        <f>C37+C38+C39</f>
        <v/>
      </c>
    </row>
    <row r="41">
      <c r="A41" s="14" t="inlineStr">
        <is>
          <t>Shares (m)</t>
        </is>
      </c>
      <c r="C41" s="15">
        <f>Inputs!$B$20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C42*Inputs!$B$21</f>
        <v/>
      </c>
    </row>
    <row r="44">
      <c r="A44" s="14" t="inlineStr">
        <is>
          <t>Terminal % of EV (memo)</t>
        </is>
      </c>
      <c r="C44" s="16">
        <f>C36/C37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Fragmentation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15">
        <f>Inputs!$B$3</f>
        <v/>
      </c>
      <c r="C5" s="15">
        <f>B5*(1+Inputs!$G$26)</f>
        <v/>
      </c>
      <c r="D5" s="15">
        <f>C5*(1+Inputs!$G$27)</f>
        <v/>
      </c>
      <c r="E5" s="15">
        <f>D5*(1+Inputs!$G$28)</f>
        <v/>
      </c>
      <c r="F5" s="15">
        <f>E5*(1+Inputs!$G$29)</f>
        <v/>
      </c>
      <c r="G5" s="15">
        <f>F5*(1+Inputs!$G$30)</f>
        <v/>
      </c>
      <c r="H5" s="15">
        <f>G5*(1+Inputs!$G$31)</f>
        <v/>
      </c>
    </row>
    <row r="6">
      <c r="A6" s="14" t="inlineStr">
        <is>
          <t>Behring OR margin</t>
        </is>
      </c>
      <c r="B6" s="17">
        <f>Inputs!$B$7</f>
        <v/>
      </c>
      <c r="C6" s="17">
        <f>Inputs!$B$7+Inputs!$G$34*(1/6)</f>
        <v/>
      </c>
      <c r="D6" s="17">
        <f>Inputs!$B$7+Inputs!$G$34*(2/6)</f>
        <v/>
      </c>
      <c r="E6" s="17">
        <f>Inputs!$B$7+Inputs!$G$34*(3/6)</f>
        <v/>
      </c>
      <c r="F6" s="17">
        <f>Inputs!$B$7+Inputs!$G$34*(4/6)</f>
        <v/>
      </c>
      <c r="G6" s="17">
        <f>Inputs!$B$7+Inputs!$G$34*(5/6)</f>
        <v/>
      </c>
      <c r="H6" s="17">
        <f>Inputs!$B$7+Inputs!$G$34*(6/6)</f>
        <v/>
      </c>
    </row>
    <row r="7">
      <c r="A7" s="14" t="inlineStr">
        <is>
          <t>Behring OR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9">
      <c r="A9" s="14" t="inlineStr">
        <is>
          <t>Seqirus revenue</t>
        </is>
      </c>
      <c r="B9" s="15">
        <f>Inputs!$B$4</f>
        <v/>
      </c>
      <c r="C9" s="15">
        <f>B9*(1+Inputs!$G$32)</f>
        <v/>
      </c>
      <c r="D9" s="15">
        <f>C9*(1+Inputs!$G$32)</f>
        <v/>
      </c>
      <c r="E9" s="15">
        <f>D9*(1+Inputs!$G$32)</f>
        <v/>
      </c>
      <c r="F9" s="15">
        <f>E9*(1+Inputs!$G$32)</f>
        <v/>
      </c>
      <c r="G9" s="15">
        <f>F9*(1+Inputs!$G$32)</f>
        <v/>
      </c>
      <c r="H9" s="15">
        <f>G9*(1+Inputs!$G$32)</f>
        <v/>
      </c>
    </row>
    <row r="10">
      <c r="A10" s="14" t="inlineStr">
        <is>
          <t>Seqirus OR margin</t>
        </is>
      </c>
      <c r="B10" s="17">
        <f>Inputs!$B$8</f>
        <v/>
      </c>
      <c r="C10" s="17">
        <f>Inputs!$B$8+Inputs!$G$35*(1/6)</f>
        <v/>
      </c>
      <c r="D10" s="17">
        <f>Inputs!$B$8+Inputs!$G$35*(2/6)</f>
        <v/>
      </c>
      <c r="E10" s="17">
        <f>Inputs!$B$8+Inputs!$G$35*(3/6)</f>
        <v/>
      </c>
      <c r="F10" s="17">
        <f>Inputs!$B$8+Inputs!$G$35*(4/6)</f>
        <v/>
      </c>
      <c r="G10" s="17">
        <f>Inputs!$B$8+Inputs!$G$35*(5/6)</f>
        <v/>
      </c>
      <c r="H10" s="17">
        <f>Inputs!$B$8+Inputs!$G$35*(6/6)</f>
        <v/>
      </c>
    </row>
    <row r="11">
      <c r="A11" s="14" t="inlineStr">
        <is>
          <t>Seqirus OR</t>
        </is>
      </c>
      <c r="B11" s="15">
        <f>B9*B10</f>
        <v/>
      </c>
      <c r="C11" s="15">
        <f>C9*C10</f>
        <v/>
      </c>
      <c r="D11" s="15">
        <f>D9*D10</f>
        <v/>
      </c>
      <c r="E11" s="15">
        <f>E9*E10</f>
        <v/>
      </c>
      <c r="F11" s="15">
        <f>F9*F10</f>
        <v/>
      </c>
      <c r="G11" s="15">
        <f>G9*G10</f>
        <v/>
      </c>
      <c r="H11" s="15">
        <f>H9*H10</f>
        <v/>
      </c>
    </row>
    <row r="13">
      <c r="A13" s="14" t="inlineStr">
        <is>
          <t>Vifor revenue</t>
        </is>
      </c>
      <c r="B13" s="15">
        <f>Inputs!$B$5</f>
        <v/>
      </c>
      <c r="C13" s="15">
        <f>B13*(1+Inputs!$G$33)</f>
        <v/>
      </c>
      <c r="D13" s="15">
        <f>C13*(1+Inputs!$G$33)</f>
        <v/>
      </c>
      <c r="E13" s="15">
        <f>D13*(1+Inputs!$G$33)</f>
        <v/>
      </c>
      <c r="F13" s="15">
        <f>E13*(1+Inputs!$G$33)</f>
        <v/>
      </c>
      <c r="G13" s="15">
        <f>F13*(1+Inputs!$G$33)</f>
        <v/>
      </c>
      <c r="H13" s="15">
        <f>G13*(1+Inputs!$G$33)</f>
        <v/>
      </c>
    </row>
    <row r="14">
      <c r="A14" s="14" t="inlineStr">
        <is>
          <t>Vifor OR margin</t>
        </is>
      </c>
      <c r="B14" s="17">
        <f>Inputs!$B$9</f>
        <v/>
      </c>
      <c r="C14" s="17">
        <f>Inputs!$B$9+Inputs!$G$36*(1/6)</f>
        <v/>
      </c>
      <c r="D14" s="17">
        <f>Inputs!$B$9+Inputs!$G$36*(2/6)</f>
        <v/>
      </c>
      <c r="E14" s="17">
        <f>Inputs!$B$9+Inputs!$G$36*(3/6)</f>
        <v/>
      </c>
      <c r="F14" s="17">
        <f>Inputs!$B$9+Inputs!$G$36*(4/6)</f>
        <v/>
      </c>
      <c r="G14" s="17">
        <f>Inputs!$B$9+Inputs!$G$36*(5/6)</f>
        <v/>
      </c>
      <c r="H14" s="17">
        <f>Inputs!$B$9+Inputs!$G$36*(6/6)</f>
        <v/>
      </c>
    </row>
    <row r="15">
      <c r="A15" s="14" t="inlineStr">
        <is>
          <t>Vifor OR</t>
        </is>
      </c>
      <c r="B15" s="15">
        <f>B13*B14</f>
        <v/>
      </c>
      <c r="C15" s="15">
        <f>C13*C14</f>
        <v/>
      </c>
      <c r="D15" s="15">
        <f>D13*D14</f>
        <v/>
      </c>
      <c r="E15" s="15">
        <f>E13*E14</f>
        <v/>
      </c>
      <c r="F15" s="15">
        <f>F13*F14</f>
        <v/>
      </c>
      <c r="G15" s="15">
        <f>G13*G14</f>
        <v/>
      </c>
      <c r="H15" s="15">
        <f>H13*H14</f>
        <v/>
      </c>
    </row>
    <row r="17">
      <c r="A17" s="10" t="inlineStr">
        <is>
          <t>Group revenue</t>
        </is>
      </c>
      <c r="B17" s="15">
        <f>B5+B9+B13</f>
        <v/>
      </c>
      <c r="C17" s="15">
        <f>C5+C9+C13</f>
        <v/>
      </c>
      <c r="D17" s="15">
        <f>D5+D9+D13</f>
        <v/>
      </c>
      <c r="E17" s="15">
        <f>E5+E9+E13</f>
        <v/>
      </c>
      <c r="F17" s="15">
        <f>F5+F9+F13</f>
        <v/>
      </c>
      <c r="G17" s="15">
        <f>G5+G9+G13</f>
        <v/>
      </c>
      <c r="H17" s="15">
        <f>H5+H9+H13</f>
        <v/>
      </c>
    </row>
    <row r="18">
      <c r="A18" s="14" t="inlineStr">
        <is>
          <t>Segment OR (sum)</t>
        </is>
      </c>
      <c r="B18" s="15">
        <f>B7+B11+B15</f>
        <v/>
      </c>
      <c r="C18" s="15">
        <f>C7+C11+C15</f>
        <v/>
      </c>
      <c r="D18" s="15">
        <f>D7+D11+D15</f>
        <v/>
      </c>
      <c r="E18" s="15">
        <f>E7+E11+E15</f>
        <v/>
      </c>
      <c r="F18" s="15">
        <f>F7+F11+F15</f>
        <v/>
      </c>
      <c r="G18" s="15">
        <f>G7+G11+G15</f>
        <v/>
      </c>
      <c r="H18" s="15">
        <f>H7+H11+H15</f>
        <v/>
      </c>
    </row>
    <row r="19">
      <c r="A19" s="14" t="inlineStr">
        <is>
          <t>Corporate / unalloc</t>
        </is>
      </c>
      <c r="B19" s="15">
        <f>Inputs!$B$10</f>
        <v/>
      </c>
      <c r="C19" s="15">
        <f>Inputs!$B$10*(1.005^1)</f>
        <v/>
      </c>
      <c r="D19" s="15">
        <f>Inputs!$B$10*(1.005^2)</f>
        <v/>
      </c>
      <c r="E19" s="15">
        <f>Inputs!$B$10*(1.005^3)</f>
        <v/>
      </c>
      <c r="F19" s="15">
        <f>Inputs!$B$10*(1.005^4)</f>
        <v/>
      </c>
      <c r="G19" s="15">
        <f>Inputs!$B$10*(1.005^5)</f>
        <v/>
      </c>
      <c r="H19" s="15">
        <f>Inputs!$B$10*(1.005^6)</f>
        <v/>
      </c>
    </row>
    <row r="20">
      <c r="A20" s="10" t="inlineStr">
        <is>
          <t>Group EBIT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</row>
    <row r="21">
      <c r="A21" s="14" t="inlineStr">
        <is>
          <t>Group EBIT margin (memo)</t>
        </is>
      </c>
      <c r="B21" s="17">
        <f>B20/B17</f>
        <v/>
      </c>
      <c r="C21" s="17">
        <f>C20/C17</f>
        <v/>
      </c>
      <c r="D21" s="17">
        <f>D20/D17</f>
        <v/>
      </c>
      <c r="E21" s="17">
        <f>E20/E17</f>
        <v/>
      </c>
      <c r="F21" s="17">
        <f>F20/F17</f>
        <v/>
      </c>
      <c r="G21" s="17">
        <f>G20/G17</f>
        <v/>
      </c>
      <c r="H21" s="17">
        <f>H20/H17</f>
        <v/>
      </c>
    </row>
    <row r="23">
      <c r="A23" s="14" t="inlineStr">
        <is>
          <t>NOPAT = EBIT x (1-tax)</t>
        </is>
      </c>
      <c r="C23" s="15">
        <f>C20*(1-Inputs!$G$39)</f>
        <v/>
      </c>
      <c r="D23" s="15">
        <f>D20*(1-Inputs!$G$39)</f>
        <v/>
      </c>
      <c r="E23" s="15">
        <f>E20*(1-Inputs!$G$39)</f>
        <v/>
      </c>
      <c r="F23" s="15">
        <f>F20*(1-Inputs!$G$39)</f>
        <v/>
      </c>
      <c r="G23" s="15">
        <f>G20*(1-Inputs!$G$39)</f>
        <v/>
      </c>
      <c r="H23" s="15">
        <f>H20*(1-Inputs!$G$39)</f>
        <v/>
      </c>
    </row>
    <row r="24">
      <c r="A24" s="14" t="inlineStr">
        <is>
          <t>Plus: D&amp;A</t>
        </is>
      </c>
      <c r="C24" s="15">
        <f>C17*Inputs!$B$12</f>
        <v/>
      </c>
      <c r="D24" s="15">
        <f>D17*Inputs!$B$12</f>
        <v/>
      </c>
      <c r="E24" s="15">
        <f>E17*Inputs!$B$12</f>
        <v/>
      </c>
      <c r="F24" s="15">
        <f>F17*Inputs!$B$12</f>
        <v/>
      </c>
      <c r="G24" s="15">
        <f>G17*Inputs!$B$12</f>
        <v/>
      </c>
      <c r="H24" s="15">
        <f>H17*Inputs!$B$12</f>
        <v/>
      </c>
    </row>
    <row r="25">
      <c r="A25" s="14" t="inlineStr">
        <is>
          <t>Less: capex (explicit yrs)</t>
        </is>
      </c>
      <c r="C25" s="15">
        <f>-C17*Inputs!$B$11</f>
        <v/>
      </c>
      <c r="D25" s="15">
        <f>-D17*Inputs!$B$11</f>
        <v/>
      </c>
      <c r="E25" s="15">
        <f>-E17*Inputs!$B$11</f>
        <v/>
      </c>
      <c r="F25" s="15">
        <f>-F17*Inputs!$B$11</f>
        <v/>
      </c>
      <c r="G25" s="15">
        <f>-G17*Inputs!$B$11</f>
        <v/>
      </c>
      <c r="H25" s="15">
        <f>-H17*Inputs!$B$11</f>
        <v/>
      </c>
    </row>
    <row r="26">
      <c r="A26" s="14" t="inlineStr">
        <is>
          <t>Less: WC change</t>
        </is>
      </c>
      <c r="C26" s="15">
        <f>-(C17-B17)*Inputs!$B$14</f>
        <v/>
      </c>
      <c r="D26" s="15">
        <f>-(D17-C17)*Inputs!$B$14</f>
        <v/>
      </c>
      <c r="E26" s="15">
        <f>-(E17-D17)*Inputs!$B$14</f>
        <v/>
      </c>
      <c r="F26" s="15">
        <f>-(F17-E17)*Inputs!$B$14</f>
        <v/>
      </c>
      <c r="G26" s="15">
        <f>-(G17-F17)*Inputs!$B$14</f>
        <v/>
      </c>
      <c r="H26" s="15">
        <f>-(H17-G17)*Inputs!$B$14</f>
        <v/>
      </c>
    </row>
    <row r="27">
      <c r="A27" s="10" t="inlineStr">
        <is>
          <t>FCFF</t>
        </is>
      </c>
      <c r="C27" s="15">
        <f>C23+C24+C25+C26</f>
        <v/>
      </c>
      <c r="D27" s="15">
        <f>D23+D24+D25+D26</f>
        <v/>
      </c>
      <c r="E27" s="15">
        <f>E23+E24+E25+E26</f>
        <v/>
      </c>
      <c r="F27" s="15">
        <f>F23+F24+F25+F26</f>
        <v/>
      </c>
      <c r="G27" s="15">
        <f>G23+G24+G25+G26</f>
        <v/>
      </c>
      <c r="H27" s="15">
        <f>H23+H24+H25+H26</f>
        <v/>
      </c>
    </row>
    <row r="28">
      <c r="A28" s="14" t="inlineStr">
        <is>
          <t>Mid-period t (FY26 excl.)</t>
        </is>
      </c>
      <c r="C28" s="24" t="n">
        <v>0</v>
      </c>
      <c r="D28" s="24" t="n">
        <v>0.5</v>
      </c>
      <c r="E28" s="24" t="n">
        <v>1.5</v>
      </c>
      <c r="F28" s="24" t="n">
        <v>2.5</v>
      </c>
      <c r="G28" s="24" t="n">
        <v>3.5</v>
      </c>
      <c r="H28" s="24" t="n">
        <v>4.5</v>
      </c>
    </row>
    <row r="29">
      <c r="A29" s="14" t="inlineStr">
        <is>
          <t>Discount factor</t>
        </is>
      </c>
      <c r="C29" s="25">
        <f>1/(1+Inputs!$B$23)^C28</f>
        <v/>
      </c>
      <c r="D29" s="25">
        <f>1/(1+Inputs!$B$23)^D28</f>
        <v/>
      </c>
      <c r="E29" s="25">
        <f>1/(1+Inputs!$B$23)^E28</f>
        <v/>
      </c>
      <c r="F29" s="25">
        <f>1/(1+Inputs!$B$23)^F28</f>
        <v/>
      </c>
      <c r="G29" s="25">
        <f>1/(1+Inputs!$B$23)^G28</f>
        <v/>
      </c>
      <c r="H29" s="25">
        <f>1/(1+Inputs!$B$23)^H28</f>
        <v/>
      </c>
    </row>
    <row r="30">
      <c r="A30" s="14" t="inlineStr">
        <is>
          <t>PV of FCFF (FY27–FY31)</t>
        </is>
      </c>
      <c r="C30" s="15" t="n">
        <v>0</v>
      </c>
      <c r="D30" s="15">
        <f>D27*D29</f>
        <v/>
      </c>
      <c r="E30" s="15">
        <f>E27*E29</f>
        <v/>
      </c>
      <c r="F30" s="15">
        <f>F27*F29</f>
        <v/>
      </c>
      <c r="G30" s="15">
        <f>G27*G29</f>
        <v/>
      </c>
      <c r="H30" s="15">
        <f>H27*H29</f>
        <v/>
      </c>
    </row>
    <row r="32">
      <c r="A32" s="10" t="inlineStr">
        <is>
          <t>Sum explicit PV (FY27–FY31)</t>
        </is>
      </c>
      <c r="C32" s="15">
        <f>SUM(D30:H30)</f>
        <v/>
      </c>
    </row>
    <row r="33">
      <c r="A33" s="14" t="inlineStr">
        <is>
          <t>Terminal FCFF (FY31; capex=D&amp;A)</t>
        </is>
      </c>
      <c r="C33" s="15">
        <f>(H17*Inputs!$G$37*(1-Inputs!$G$39)+H17*Inputs!$B$12-H17*Inputs!$B$13-H17*Inputs!$G$38*Inputs!$B$14)*(1+Inputs!$G$38)</f>
        <v/>
      </c>
    </row>
    <row r="34">
      <c r="A34" s="14" t="inlineStr">
        <is>
          <t>Terminal value (Gordon)</t>
        </is>
      </c>
      <c r="C34" s="15">
        <f>C33/(Inputs!$B$23-Inputs!$G$38)</f>
        <v/>
      </c>
    </row>
    <row r="35">
      <c r="A35" s="14" t="inlineStr">
        <is>
          <t>Discount factor t=5</t>
        </is>
      </c>
      <c r="C35" s="25">
        <f>1/(1+Inputs!$B$23)^5</f>
        <v/>
      </c>
    </row>
    <row r="36">
      <c r="A36" s="14" t="inlineStr">
        <is>
          <t>PV of terminal value</t>
        </is>
      </c>
      <c r="C36" s="15">
        <f>C34*C35</f>
        <v/>
      </c>
    </row>
    <row r="37">
      <c r="A37" s="10" t="inlineStr">
        <is>
          <t>Enterprise value</t>
        </is>
      </c>
      <c r="C37" s="15">
        <f>C32+C36</f>
        <v/>
      </c>
    </row>
    <row r="38">
      <c r="A38" s="14" t="inlineStr">
        <is>
          <t>Less: net debt</t>
        </is>
      </c>
      <c r="C38" s="15">
        <f>-Inputs!$B$18</f>
        <v/>
      </c>
    </row>
    <row r="39">
      <c r="A39" s="14" t="inlineStr">
        <is>
          <t>Less: restructuring cash</t>
        </is>
      </c>
      <c r="C39" s="15">
        <f>-Inputs!$B$19</f>
        <v/>
      </c>
    </row>
    <row r="40">
      <c r="A40" s="10" t="inlineStr">
        <is>
          <t>Equity value</t>
        </is>
      </c>
      <c r="C40" s="15">
        <f>C37+C38+C39</f>
        <v/>
      </c>
    </row>
    <row r="41">
      <c r="A41" s="14" t="inlineStr">
        <is>
          <t>Shares (m)</t>
        </is>
      </c>
      <c r="C41" s="15">
        <f>Inputs!$B$20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C42*Inputs!$B$21</f>
        <v/>
      </c>
    </row>
    <row r="44">
      <c r="A44" s="14" t="inlineStr">
        <is>
          <t>Terminal % of EV (memo)</t>
        </is>
      </c>
      <c r="C44" s="16">
        <f>C36/C37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Stagflation Persists — segment DCF (USD m)</t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</row>
    <row r="3">
      <c r="A3" s="14" t="inlineStr">
        <is>
          <t>Line</t>
        </is>
      </c>
      <c r="B3" s="10" t="inlineStr">
        <is>
          <t>FY25</t>
        </is>
      </c>
      <c r="C3" s="10" t="inlineStr">
        <is>
          <t>FY26</t>
        </is>
      </c>
      <c r="D3" s="10" t="inlineStr">
        <is>
          <t>FY27</t>
        </is>
      </c>
      <c r="E3" s="10" t="inlineStr">
        <is>
          <t>FY28</t>
        </is>
      </c>
      <c r="F3" s="10" t="inlineStr">
        <is>
          <t>FY29</t>
        </is>
      </c>
      <c r="G3" s="10" t="inlineStr">
        <is>
          <t>FY30</t>
        </is>
      </c>
      <c r="H3" s="10" t="inlineStr">
        <is>
          <t>FY31</t>
        </is>
      </c>
    </row>
    <row r="5">
      <c r="A5" s="14" t="inlineStr">
        <is>
          <t>Behring revenue</t>
        </is>
      </c>
      <c r="B5" s="15">
        <f>Inputs!$B$3</f>
        <v/>
      </c>
      <c r="C5" s="15">
        <f>B5*(1+Inputs!$H$26)</f>
        <v/>
      </c>
      <c r="D5" s="15">
        <f>C5*(1+Inputs!$H$27)</f>
        <v/>
      </c>
      <c r="E5" s="15">
        <f>D5*(1+Inputs!$H$28)</f>
        <v/>
      </c>
      <c r="F5" s="15">
        <f>E5*(1+Inputs!$H$29)</f>
        <v/>
      </c>
      <c r="G5" s="15">
        <f>F5*(1+Inputs!$H$30)</f>
        <v/>
      </c>
      <c r="H5" s="15">
        <f>G5*(1+Inputs!$H$31)</f>
        <v/>
      </c>
    </row>
    <row r="6">
      <c r="A6" s="14" t="inlineStr">
        <is>
          <t>Behring OR margin</t>
        </is>
      </c>
      <c r="B6" s="17">
        <f>Inputs!$B$7</f>
        <v/>
      </c>
      <c r="C6" s="17">
        <f>Inputs!$B$7+Inputs!$H$34*(1/6)</f>
        <v/>
      </c>
      <c r="D6" s="17">
        <f>Inputs!$B$7+Inputs!$H$34*(2/6)</f>
        <v/>
      </c>
      <c r="E6" s="17">
        <f>Inputs!$B$7+Inputs!$H$34*(3/6)</f>
        <v/>
      </c>
      <c r="F6" s="17">
        <f>Inputs!$B$7+Inputs!$H$34*(4/6)</f>
        <v/>
      </c>
      <c r="G6" s="17">
        <f>Inputs!$B$7+Inputs!$H$34*(5/6)</f>
        <v/>
      </c>
      <c r="H6" s="17">
        <f>Inputs!$B$7+Inputs!$H$34*(6/6)</f>
        <v/>
      </c>
    </row>
    <row r="7">
      <c r="A7" s="14" t="inlineStr">
        <is>
          <t>Behring OR</t>
        </is>
      </c>
      <c r="B7" s="15">
        <f>B5*B6</f>
        <v/>
      </c>
      <c r="C7" s="15">
        <f>C5*C6</f>
        <v/>
      </c>
      <c r="D7" s="15">
        <f>D5*D6</f>
        <v/>
      </c>
      <c r="E7" s="15">
        <f>E5*E6</f>
        <v/>
      </c>
      <c r="F7" s="15">
        <f>F5*F6</f>
        <v/>
      </c>
      <c r="G7" s="15">
        <f>G5*G6</f>
        <v/>
      </c>
      <c r="H7" s="15">
        <f>H5*H6</f>
        <v/>
      </c>
    </row>
    <row r="9">
      <c r="A9" s="14" t="inlineStr">
        <is>
          <t>Seqirus revenue</t>
        </is>
      </c>
      <c r="B9" s="15">
        <f>Inputs!$B$4</f>
        <v/>
      </c>
      <c r="C9" s="15">
        <f>B9*(1+Inputs!$H$32)</f>
        <v/>
      </c>
      <c r="D9" s="15">
        <f>C9*(1+Inputs!$H$32)</f>
        <v/>
      </c>
      <c r="E9" s="15">
        <f>D9*(1+Inputs!$H$32)</f>
        <v/>
      </c>
      <c r="F9" s="15">
        <f>E9*(1+Inputs!$H$32)</f>
        <v/>
      </c>
      <c r="G9" s="15">
        <f>F9*(1+Inputs!$H$32)</f>
        <v/>
      </c>
      <c r="H9" s="15">
        <f>G9*(1+Inputs!$H$32)</f>
        <v/>
      </c>
    </row>
    <row r="10">
      <c r="A10" s="14" t="inlineStr">
        <is>
          <t>Seqirus OR margin</t>
        </is>
      </c>
      <c r="B10" s="17">
        <f>Inputs!$B$8</f>
        <v/>
      </c>
      <c r="C10" s="17">
        <f>Inputs!$B$8+Inputs!$H$35*(1/6)</f>
        <v/>
      </c>
      <c r="D10" s="17">
        <f>Inputs!$B$8+Inputs!$H$35*(2/6)</f>
        <v/>
      </c>
      <c r="E10" s="17">
        <f>Inputs!$B$8+Inputs!$H$35*(3/6)</f>
        <v/>
      </c>
      <c r="F10" s="17">
        <f>Inputs!$B$8+Inputs!$H$35*(4/6)</f>
        <v/>
      </c>
      <c r="G10" s="17">
        <f>Inputs!$B$8+Inputs!$H$35*(5/6)</f>
        <v/>
      </c>
      <c r="H10" s="17">
        <f>Inputs!$B$8+Inputs!$H$35*(6/6)</f>
        <v/>
      </c>
    </row>
    <row r="11">
      <c r="A11" s="14" t="inlineStr">
        <is>
          <t>Seqirus OR</t>
        </is>
      </c>
      <c r="B11" s="15">
        <f>B9*B10</f>
        <v/>
      </c>
      <c r="C11" s="15">
        <f>C9*C10</f>
        <v/>
      </c>
      <c r="D11" s="15">
        <f>D9*D10</f>
        <v/>
      </c>
      <c r="E11" s="15">
        <f>E9*E10</f>
        <v/>
      </c>
      <c r="F11" s="15">
        <f>F9*F10</f>
        <v/>
      </c>
      <c r="G11" s="15">
        <f>G9*G10</f>
        <v/>
      </c>
      <c r="H11" s="15">
        <f>H9*H10</f>
        <v/>
      </c>
    </row>
    <row r="13">
      <c r="A13" s="14" t="inlineStr">
        <is>
          <t>Vifor revenue</t>
        </is>
      </c>
      <c r="B13" s="15">
        <f>Inputs!$B$5</f>
        <v/>
      </c>
      <c r="C13" s="15">
        <f>B13*(1+Inputs!$H$33)</f>
        <v/>
      </c>
      <c r="D13" s="15">
        <f>C13*(1+Inputs!$H$33)</f>
        <v/>
      </c>
      <c r="E13" s="15">
        <f>D13*(1+Inputs!$H$33)</f>
        <v/>
      </c>
      <c r="F13" s="15">
        <f>E13*(1+Inputs!$H$33)</f>
        <v/>
      </c>
      <c r="G13" s="15">
        <f>F13*(1+Inputs!$H$33)</f>
        <v/>
      </c>
      <c r="H13" s="15">
        <f>G13*(1+Inputs!$H$33)</f>
        <v/>
      </c>
    </row>
    <row r="14">
      <c r="A14" s="14" t="inlineStr">
        <is>
          <t>Vifor OR margin</t>
        </is>
      </c>
      <c r="B14" s="17">
        <f>Inputs!$B$9</f>
        <v/>
      </c>
      <c r="C14" s="17">
        <f>Inputs!$B$9+Inputs!$H$36*(1/6)</f>
        <v/>
      </c>
      <c r="D14" s="17">
        <f>Inputs!$B$9+Inputs!$H$36*(2/6)</f>
        <v/>
      </c>
      <c r="E14" s="17">
        <f>Inputs!$B$9+Inputs!$H$36*(3/6)</f>
        <v/>
      </c>
      <c r="F14" s="17">
        <f>Inputs!$B$9+Inputs!$H$36*(4/6)</f>
        <v/>
      </c>
      <c r="G14" s="17">
        <f>Inputs!$B$9+Inputs!$H$36*(5/6)</f>
        <v/>
      </c>
      <c r="H14" s="17">
        <f>Inputs!$B$9+Inputs!$H$36*(6/6)</f>
        <v/>
      </c>
    </row>
    <row r="15">
      <c r="A15" s="14" t="inlineStr">
        <is>
          <t>Vifor OR</t>
        </is>
      </c>
      <c r="B15" s="15">
        <f>B13*B14</f>
        <v/>
      </c>
      <c r="C15" s="15">
        <f>C13*C14</f>
        <v/>
      </c>
      <c r="D15" s="15">
        <f>D13*D14</f>
        <v/>
      </c>
      <c r="E15" s="15">
        <f>E13*E14</f>
        <v/>
      </c>
      <c r="F15" s="15">
        <f>F13*F14</f>
        <v/>
      </c>
      <c r="G15" s="15">
        <f>G13*G14</f>
        <v/>
      </c>
      <c r="H15" s="15">
        <f>H13*H14</f>
        <v/>
      </c>
    </row>
    <row r="17">
      <c r="A17" s="10" t="inlineStr">
        <is>
          <t>Group revenue</t>
        </is>
      </c>
      <c r="B17" s="15">
        <f>B5+B9+B13</f>
        <v/>
      </c>
      <c r="C17" s="15">
        <f>C5+C9+C13</f>
        <v/>
      </c>
      <c r="D17" s="15">
        <f>D5+D9+D13</f>
        <v/>
      </c>
      <c r="E17" s="15">
        <f>E5+E9+E13</f>
        <v/>
      </c>
      <c r="F17" s="15">
        <f>F5+F9+F13</f>
        <v/>
      </c>
      <c r="G17" s="15">
        <f>G5+G9+G13</f>
        <v/>
      </c>
      <c r="H17" s="15">
        <f>H5+H9+H13</f>
        <v/>
      </c>
    </row>
    <row r="18">
      <c r="A18" s="14" t="inlineStr">
        <is>
          <t>Segment OR (sum)</t>
        </is>
      </c>
      <c r="B18" s="15">
        <f>B7+B11+B15</f>
        <v/>
      </c>
      <c r="C18" s="15">
        <f>C7+C11+C15</f>
        <v/>
      </c>
      <c r="D18" s="15">
        <f>D7+D11+D15</f>
        <v/>
      </c>
      <c r="E18" s="15">
        <f>E7+E11+E15</f>
        <v/>
      </c>
      <c r="F18" s="15">
        <f>F7+F11+F15</f>
        <v/>
      </c>
      <c r="G18" s="15">
        <f>G7+G11+G15</f>
        <v/>
      </c>
      <c r="H18" s="15">
        <f>H7+H11+H15</f>
        <v/>
      </c>
    </row>
    <row r="19">
      <c r="A19" s="14" t="inlineStr">
        <is>
          <t>Corporate / unalloc</t>
        </is>
      </c>
      <c r="B19" s="15">
        <f>Inputs!$B$10</f>
        <v/>
      </c>
      <c r="C19" s="15">
        <f>Inputs!$B$10*(1.005^1)</f>
        <v/>
      </c>
      <c r="D19" s="15">
        <f>Inputs!$B$10*(1.005^2)</f>
        <v/>
      </c>
      <c r="E19" s="15">
        <f>Inputs!$B$10*(1.005^3)</f>
        <v/>
      </c>
      <c r="F19" s="15">
        <f>Inputs!$B$10*(1.005^4)</f>
        <v/>
      </c>
      <c r="G19" s="15">
        <f>Inputs!$B$10*(1.005^5)</f>
        <v/>
      </c>
      <c r="H19" s="15">
        <f>Inputs!$B$10*(1.005^6)</f>
        <v/>
      </c>
    </row>
    <row r="20">
      <c r="A20" s="10" t="inlineStr">
        <is>
          <t>Group EBIT</t>
        </is>
      </c>
      <c r="B20" s="15">
        <f>B18+B19</f>
        <v/>
      </c>
      <c r="C20" s="15">
        <f>C18+C19</f>
        <v/>
      </c>
      <c r="D20" s="15">
        <f>D18+D19</f>
        <v/>
      </c>
      <c r="E20" s="15">
        <f>E18+E19</f>
        <v/>
      </c>
      <c r="F20" s="15">
        <f>F18+F19</f>
        <v/>
      </c>
      <c r="G20" s="15">
        <f>G18+G19</f>
        <v/>
      </c>
      <c r="H20" s="15">
        <f>H18+H19</f>
        <v/>
      </c>
    </row>
    <row r="21">
      <c r="A21" s="14" t="inlineStr">
        <is>
          <t>Group EBIT margin (memo)</t>
        </is>
      </c>
      <c r="B21" s="17">
        <f>B20/B17</f>
        <v/>
      </c>
      <c r="C21" s="17">
        <f>C20/C17</f>
        <v/>
      </c>
      <c r="D21" s="17">
        <f>D20/D17</f>
        <v/>
      </c>
      <c r="E21" s="17">
        <f>E20/E17</f>
        <v/>
      </c>
      <c r="F21" s="17">
        <f>F20/F17</f>
        <v/>
      </c>
      <c r="G21" s="17">
        <f>G20/G17</f>
        <v/>
      </c>
      <c r="H21" s="17">
        <f>H20/H17</f>
        <v/>
      </c>
    </row>
    <row r="23">
      <c r="A23" s="14" t="inlineStr">
        <is>
          <t>NOPAT = EBIT x (1-tax)</t>
        </is>
      </c>
      <c r="C23" s="15">
        <f>C20*(1-Inputs!$H$39)</f>
        <v/>
      </c>
      <c r="D23" s="15">
        <f>D20*(1-Inputs!$H$39)</f>
        <v/>
      </c>
      <c r="E23" s="15">
        <f>E20*(1-Inputs!$H$39)</f>
        <v/>
      </c>
      <c r="F23" s="15">
        <f>F20*(1-Inputs!$H$39)</f>
        <v/>
      </c>
      <c r="G23" s="15">
        <f>G20*(1-Inputs!$H$39)</f>
        <v/>
      </c>
      <c r="H23" s="15">
        <f>H20*(1-Inputs!$H$39)</f>
        <v/>
      </c>
    </row>
    <row r="24">
      <c r="A24" s="14" t="inlineStr">
        <is>
          <t>Plus: D&amp;A</t>
        </is>
      </c>
      <c r="C24" s="15">
        <f>C17*Inputs!$B$12</f>
        <v/>
      </c>
      <c r="D24" s="15">
        <f>D17*Inputs!$B$12</f>
        <v/>
      </c>
      <c r="E24" s="15">
        <f>E17*Inputs!$B$12</f>
        <v/>
      </c>
      <c r="F24" s="15">
        <f>F17*Inputs!$B$12</f>
        <v/>
      </c>
      <c r="G24" s="15">
        <f>G17*Inputs!$B$12</f>
        <v/>
      </c>
      <c r="H24" s="15">
        <f>H17*Inputs!$B$12</f>
        <v/>
      </c>
    </row>
    <row r="25">
      <c r="A25" s="14" t="inlineStr">
        <is>
          <t>Less: capex (explicit yrs)</t>
        </is>
      </c>
      <c r="C25" s="15">
        <f>-C17*Inputs!$B$11</f>
        <v/>
      </c>
      <c r="D25" s="15">
        <f>-D17*Inputs!$B$11</f>
        <v/>
      </c>
      <c r="E25" s="15">
        <f>-E17*Inputs!$B$11</f>
        <v/>
      </c>
      <c r="F25" s="15">
        <f>-F17*Inputs!$B$11</f>
        <v/>
      </c>
      <c r="G25" s="15">
        <f>-G17*Inputs!$B$11</f>
        <v/>
      </c>
      <c r="H25" s="15">
        <f>-H17*Inputs!$B$11</f>
        <v/>
      </c>
    </row>
    <row r="26">
      <c r="A26" s="14" t="inlineStr">
        <is>
          <t>Less: WC change</t>
        </is>
      </c>
      <c r="C26" s="15">
        <f>-(C17-B17)*Inputs!$B$14</f>
        <v/>
      </c>
      <c r="D26" s="15">
        <f>-(D17-C17)*Inputs!$B$14</f>
        <v/>
      </c>
      <c r="E26" s="15">
        <f>-(E17-D17)*Inputs!$B$14</f>
        <v/>
      </c>
      <c r="F26" s="15">
        <f>-(F17-E17)*Inputs!$B$14</f>
        <v/>
      </c>
      <c r="G26" s="15">
        <f>-(G17-F17)*Inputs!$B$14</f>
        <v/>
      </c>
      <c r="H26" s="15">
        <f>-(H17-G17)*Inputs!$B$14</f>
        <v/>
      </c>
    </row>
    <row r="27">
      <c r="A27" s="10" t="inlineStr">
        <is>
          <t>FCFF</t>
        </is>
      </c>
      <c r="C27" s="15">
        <f>C23+C24+C25+C26</f>
        <v/>
      </c>
      <c r="D27" s="15">
        <f>D23+D24+D25+D26</f>
        <v/>
      </c>
      <c r="E27" s="15">
        <f>E23+E24+E25+E26</f>
        <v/>
      </c>
      <c r="F27" s="15">
        <f>F23+F24+F25+F26</f>
        <v/>
      </c>
      <c r="G27" s="15">
        <f>G23+G24+G25+G26</f>
        <v/>
      </c>
      <c r="H27" s="15">
        <f>H23+H24+H25+H26</f>
        <v/>
      </c>
    </row>
    <row r="28">
      <c r="A28" s="14" t="inlineStr">
        <is>
          <t>Mid-period t (FY26 excl.)</t>
        </is>
      </c>
      <c r="C28" s="24" t="n">
        <v>0</v>
      </c>
      <c r="D28" s="24" t="n">
        <v>0.5</v>
      </c>
      <c r="E28" s="24" t="n">
        <v>1.5</v>
      </c>
      <c r="F28" s="24" t="n">
        <v>2.5</v>
      </c>
      <c r="G28" s="24" t="n">
        <v>3.5</v>
      </c>
      <c r="H28" s="24" t="n">
        <v>4.5</v>
      </c>
    </row>
    <row r="29">
      <c r="A29" s="14" t="inlineStr">
        <is>
          <t>Discount factor</t>
        </is>
      </c>
      <c r="C29" s="25">
        <f>1/(1+Inputs!$B$23)^C28</f>
        <v/>
      </c>
      <c r="D29" s="25">
        <f>1/(1+Inputs!$B$23)^D28</f>
        <v/>
      </c>
      <c r="E29" s="25">
        <f>1/(1+Inputs!$B$23)^E28</f>
        <v/>
      </c>
      <c r="F29" s="25">
        <f>1/(1+Inputs!$B$23)^F28</f>
        <v/>
      </c>
      <c r="G29" s="25">
        <f>1/(1+Inputs!$B$23)^G28</f>
        <v/>
      </c>
      <c r="H29" s="25">
        <f>1/(1+Inputs!$B$23)^H28</f>
        <v/>
      </c>
    </row>
    <row r="30">
      <c r="A30" s="14" t="inlineStr">
        <is>
          <t>PV of FCFF (FY27–FY31)</t>
        </is>
      </c>
      <c r="C30" s="15" t="n">
        <v>0</v>
      </c>
      <c r="D30" s="15">
        <f>D27*D29</f>
        <v/>
      </c>
      <c r="E30" s="15">
        <f>E27*E29</f>
        <v/>
      </c>
      <c r="F30" s="15">
        <f>F27*F29</f>
        <v/>
      </c>
      <c r="G30" s="15">
        <f>G27*G29</f>
        <v/>
      </c>
      <c r="H30" s="15">
        <f>H27*H29</f>
        <v/>
      </c>
    </row>
    <row r="32">
      <c r="A32" s="10" t="inlineStr">
        <is>
          <t>Sum explicit PV (FY27–FY31)</t>
        </is>
      </c>
      <c r="C32" s="15">
        <f>SUM(D30:H30)</f>
        <v/>
      </c>
    </row>
    <row r="33">
      <c r="A33" s="14" t="inlineStr">
        <is>
          <t>Terminal FCFF (FY31; capex=D&amp;A)</t>
        </is>
      </c>
      <c r="C33" s="15">
        <f>(H17*Inputs!$H$37*(1-Inputs!$H$39)+H17*Inputs!$B$12-H17*Inputs!$B$13-H17*Inputs!$H$38*Inputs!$B$14)*(1+Inputs!$H$38)</f>
        <v/>
      </c>
    </row>
    <row r="34">
      <c r="A34" s="14" t="inlineStr">
        <is>
          <t>Terminal value (Gordon)</t>
        </is>
      </c>
      <c r="C34" s="15">
        <f>C33/(Inputs!$B$23-Inputs!$H$38)</f>
        <v/>
      </c>
    </row>
    <row r="35">
      <c r="A35" s="14" t="inlineStr">
        <is>
          <t>Discount factor t=5</t>
        </is>
      </c>
      <c r="C35" s="25">
        <f>1/(1+Inputs!$B$23)^5</f>
        <v/>
      </c>
    </row>
    <row r="36">
      <c r="A36" s="14" t="inlineStr">
        <is>
          <t>PV of terminal value</t>
        </is>
      </c>
      <c r="C36" s="15">
        <f>C34*C35</f>
        <v/>
      </c>
    </row>
    <row r="37">
      <c r="A37" s="10" t="inlineStr">
        <is>
          <t>Enterprise value</t>
        </is>
      </c>
      <c r="C37" s="15">
        <f>C32+C36</f>
        <v/>
      </c>
    </row>
    <row r="38">
      <c r="A38" s="14" t="inlineStr">
        <is>
          <t>Less: net debt</t>
        </is>
      </c>
      <c r="C38" s="15">
        <f>-Inputs!$B$18</f>
        <v/>
      </c>
    </row>
    <row r="39">
      <c r="A39" s="14" t="inlineStr">
        <is>
          <t>Less: restructuring cash</t>
        </is>
      </c>
      <c r="C39" s="15">
        <f>-Inputs!$B$19</f>
        <v/>
      </c>
    </row>
    <row r="40">
      <c r="A40" s="10" t="inlineStr">
        <is>
          <t>Equity value</t>
        </is>
      </c>
      <c r="C40" s="15">
        <f>C37+C38+C39</f>
        <v/>
      </c>
    </row>
    <row r="41">
      <c r="A41" s="14" t="inlineStr">
        <is>
          <t>Shares (m)</t>
        </is>
      </c>
      <c r="C41" s="15">
        <f>Inputs!$B$20</f>
        <v/>
      </c>
    </row>
    <row r="42">
      <c r="A42" s="10" t="inlineStr">
        <is>
          <t>Value per share (USD)</t>
        </is>
      </c>
      <c r="C42" s="11">
        <f>C40/C41</f>
        <v/>
      </c>
    </row>
    <row r="43">
      <c r="A43" s="10" t="inlineStr">
        <is>
          <t>Value per share (AUD)</t>
        </is>
      </c>
      <c r="C43" s="11">
        <f>C42*Inputs!$B$21</f>
        <v/>
      </c>
    </row>
    <row r="44">
      <c r="A44" s="14" t="inlineStr">
        <is>
          <t>Terminal % of EV (memo)</t>
        </is>
      </c>
      <c r="C44" s="16">
        <f>C36/C37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2" customWidth="1" min="1" max="1"/>
  </cols>
  <sheetData>
    <row r="1">
      <c r="A1" s="1" t="inlineStr">
        <is>
          <t>Methodology notes (v2)</t>
        </is>
      </c>
    </row>
    <row r="3" ht="30" customHeight="1">
      <c r="A3" s="13" t="inlineStr">
        <is>
          <t>v2 change. Terminal capex set equal to D&amp;A (steady-state reinvestment consistency). v1 ran terminal capex 4.5% &lt; D&amp;A 6%, inflating perpetual FCFF by ~1.5% of revenue forever; correcting it trims every scenario ~5%. Explicit-period capex stays 4.5% (near-term guidance; D&amp;A&gt;capex there reflects Vifor/Behring intangible amortisation, which legitimately exceeds capex until it runs off).</t>
        </is>
      </c>
    </row>
    <row r="4" ht="30" customHeight="1">
      <c r="A4" s="13" t="inlineStr">
        <is>
          <t>Engine. Each scenario tab replicates the v3 Muddle Through segment DCF (Behring J-curve + Seqirus/Vifor CAGR; linear OR-margin glide to FY31; corporate +0.5%/yr; FCFF = NOPAT + D&amp;A − capex − ΔWC; explicit FY27–FY31 mid-period discounted; Gordon terminal off FY31). After the capex fix, the MT tab gives USD 134.52 / AUD 203.83 (v3 standalone is USD 141.78 pre-fix — v3 should get the same terminal-capex correction → a 'v4').</t>
        </is>
      </c>
    </row>
    <row r="5" ht="30" customHeight="1">
      <c r="A5" s="13" t="inlineStr">
        <is>
          <t>Base. All scenarios anchor off v3 (terminal-margin fix binding; Behring J-curve FY26 −1% → 5.5%; Behring peer-gap uplift +150bps in MT, full +250bps reserved for Orderly). Shared base inputs identical across scenarios on the Inputs tab.</t>
        </is>
      </c>
    </row>
    <row r="6" ht="30" customHeight="1">
      <c r="A6" s="13" t="inlineStr">
        <is>
          <t>Per-scenario drivers (Inputs tab, yellow): Behring 6-year growth path, Seqirus &amp; Vifor CAGR, the three segment margin uplifts, terminal EBIT margin, terminal growth g, effective tax. The only levers that move between scenarios; everything else links by formula.</t>
        </is>
      </c>
    </row>
    <row r="7" ht="15" customHeight="1">
      <c r="A7" s="13" t="inlineStr">
        <is>
          <t>Calibration logic (CSL defensive — scenarios act on margins/policy, not volumes):</t>
        </is>
      </c>
    </row>
    <row r="8" ht="30" customHeight="1">
      <c r="A8" s="13" t="inlineStr">
        <is>
          <t xml:space="preserve">  Orderly: benign macro, collection-cost inflation eases → full +250bps Behring closure, faster J-curve, terminal margin 31.5%, g 3.25%.</t>
        </is>
      </c>
    </row>
    <row r="9" ht="30" customHeight="1">
      <c r="A9" s="13" t="inlineStr">
        <is>
          <t xml:space="preserve">  AI Productivity Lag: white-collar wage containment a mild margin tailwind; softer macro, lower terminal g 2.875%. Marginally below MT.</t>
        </is>
      </c>
    </row>
    <row r="10" ht="30" customHeight="1">
      <c r="A10" s="13" t="inlineStr">
        <is>
          <t xml:space="preserve">  Disorderly Climate: carbon-cost pass-through compresses fractionation/cold-chain margins; Seqirus vaccine demand a partial offset. Terminal margin 28%, g 2.75%.</t>
        </is>
      </c>
    </row>
    <row r="11" ht="30" customHeight="1">
      <c r="A11" s="13" t="inlineStr">
        <is>
          <t xml:space="preserve">  Fragmentation: China Ig access + supply-chain localisation friction; closure stalls (uplift 0), effective tax 20%. Terminal margin 28.2%, g 2.75%.</t>
        </is>
      </c>
    </row>
    <row r="12" ht="30" customHeight="1">
      <c r="A12" s="13" t="inlineStr">
        <is>
          <t xml:space="preserve">  Stagflation: worst margin case — donor-collection wage inflation + payor pricing; closure reverses (Behring −150bps). Terminal margin 26.5%, g held 3% (nominal).</t>
        </is>
      </c>
    </row>
    <row r="13" ht="30" customHeight="1">
      <c r="A13" s="13" t="inlineStr">
        <is>
          <t>§3.5.7 market-implied. See the dedicated tab: single-lever reverse-DCF shows the market implies β≈1.7–1.8 / terminal margin ~13% / g negative — none plausible alone, so the gap is a blend (or genuine under-pricing).</t>
        </is>
      </c>
    </row>
    <row r="14" ht="30" customHeight="1">
      <c r="A14" s="13" t="inlineStr">
        <is>
          <t>Single-WACC discipline. Re = 8.75% held across all scenarios; terminal g scenario-conditional, Re is not. Per CLAUDE.md conventions and methodology §3.5.</t>
        </is>
      </c>
    </row>
    <row r="15" ht="30" customHeight="1">
      <c r="A15" s="13" t="inlineStr">
        <is>
          <t>Status. Calibration draft for Stephen's sign-off (25 June 2026). Thesis + discussion document deferred per agreed scope. Open: β/cost-of-equity reality check; backport terminal-capex fix to the v3 standalone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2026-06-25T05:02:24Z</dcterms:created>
  <dcterms:modified xmlns:dcterms="http://purl.org/dc/terms/" xmlns:xsi="http://www.w3.org/2001/XMLSchema-instance" xsi:type="dcterms:W3CDTF">2026-06-25T05:02:24Z</dcterms:modified>
</cp:coreProperties>
</file>